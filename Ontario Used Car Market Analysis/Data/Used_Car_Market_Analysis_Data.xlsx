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89126bc13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cede762c3c4a3a"/>
    <x:sheet xmlns:r="http://schemas.openxmlformats.org/officeDocument/2006/relationships" name="Raw Data" sheetId="2" r:id="Rbc8e7ef953314805"/>
    <x:sheet xmlns:r="http://schemas.openxmlformats.org/officeDocument/2006/relationships" name="Analysis Data" sheetId="3" r:id="R7329ed77bc684639"/>
    <x:sheet xmlns:r="http://schemas.openxmlformats.org/officeDocument/2006/relationships" name="Model Summary" sheetId="4" r:id="Rb2902a0bf2024ce7"/>
    <x:sheet xmlns:r="http://schemas.openxmlformats.org/officeDocument/2006/relationships" name="Segment Summary" sheetId="5" r:id="R8a229e2d67c34abb"/>
    <x:sheet xmlns:r="http://schemas.openxmlformats.org/officeDocument/2006/relationships" name="Exclusion Log" sheetId="6" r:id="Rd2faa4921253488f"/>
    <x:sheet xmlns:r="http://schemas.openxmlformats.org/officeDocument/2006/relationships" name="Data Dictionary" sheetId="7" r:id="R0595dc9e4913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"/>
    <x:numFmt numFmtId="202" formatCode="0"/>
    <x:numFmt numFmtId="203" formatCode="&quot;CAD &quot;#,##0"/>
    <x:numFmt numFmtId="204" formatCode="#,##0 &quot;km&quot;"/>
    <x:numFmt numFmtId="205" formatCode="0 &quot;years&quot;"/>
    <x:numFmt numFmtId="206" formatCode="#,##0 &quot;km/year&quot;"/>
    <x:numFmt numFmtId="207" formatCode="0.0 &quot;years&quot;"/>
  </x:numFmts>
  <x:fonts count="18">
    <x:font>
      <x:sz val="11"/>
      <x:name val="Carlito"/>
    </x:font>
    <x:font>
      <x:b/>
      <x:sz val="18"/>
      <x:color rgb="FFFFFFFF"/>
      <x:name val="Aptos Display"/>
    </x:font>
    <x:font>
      <x:i/>
      <x:sz val="11"/>
      <x:color rgb="FF4B5563"/>
      <x:name val="Aptos"/>
    </x:font>
    <x:font>
      <x:b/>
      <x:sz val="11"/>
      <x:color rgb="FF17365D"/>
      <x:name val="Aptos"/>
    </x:font>
    <x:font>
      <x:b/>
      <x:sz val="11"/>
      <x:color rgb="FF17365D"/>
      <x:name val="Carlito"/>
    </x:font>
    <x:font>
      <x:b/>
      <x:sz val="14"/>
      <x:color rgb="FF4472C4"/>
      <x:name val="Carlito"/>
    </x:font>
    <x:font>
      <x:b/>
      <x:sz val="11"/>
      <x:color rgb="FF2E7D32"/>
      <x:name val="Carlito"/>
    </x:font>
    <x:font>
      <x:b/>
      <x:sz val="12"/>
      <x:color rgb="FF4472C4"/>
      <x:name val="Carlito"/>
    </x:font>
    <x:font>
      <x:sz val="11"/>
      <x:color rgb="FF9C6500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4"/>
      <x:color rgb="FF4472C4"/>
      <x:name val="Aptos"/>
    </x:font>
    <x:font>
      <x:b/>
      <x:sz val="11"/>
      <x:color rgb="FF2E7D32"/>
      <x:name val="Aptos"/>
    </x:font>
    <x:font>
      <x:b/>
      <x:sz val="12"/>
      <x:color rgb="FF4472C4"/>
      <x:name val="Aptos"/>
    </x:font>
    <x:font>
      <x:sz val="11"/>
      <x:color rgb="FF9C6500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b/>
      <x:sz val="9"/>
      <x:color rgb="FFC000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FFF4CE"/>
      </x:patternFill>
    </x:fill>
    <x:fill>
      <x:patternFill patternType="solid">
        <x:fgColor rgb="FF4472C4"/>
      </x:patternFill>
    </x:fill>
    <x:fill>
      <x:patternFill patternType="solid">
        <x:fgColor rgb="FFFCE8E6"/>
      </x:patternFill>
    </x:fill>
  </x:fills>
  <x:borders count="23">
    <x:border/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bottom style="thin">
        <x:color rgb="FFF4B183"/>
      </x:bottom>
    </x:border>
    <x:border>
      <x:left style="thin">
        <x:color rgb="FFF4B183"/>
      </x:left>
      <x:bottom style="thin">
        <x:color rgb="FFF4B183"/>
      </x:bottom>
    </x:border>
    <x:border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F4B183"/>
      </x:left>
      <x:top style="thin">
        <x:color rgb="FFF4B183"/>
      </x:top>
      <x:bottom style="thin">
        <x:color rgb="FFF4B183"/>
      </x:bottom>
    </x:border>
    <x:border>
      <x:right style="thin">
        <x:color rgb="FFF4B183"/>
      </x:right>
      <x:top style="thin">
        <x:color rgb="FFF4B183"/>
      </x:top>
    </x:border>
    <x:border>
      <x:left style="thin">
        <x:color rgb="FFF4B183"/>
      </x:left>
      <x:right style="thin">
        <x:color rgb="FFF4B183"/>
      </x:right>
      <x:top style="thin">
        <x:color rgb="FFF4B183"/>
      </x:top>
    </x:border>
    <x:border>
      <x:left style="thin">
        <x:color rgb="FFF4B183"/>
      </x:left>
      <x:top style="thin">
        <x:color rgb="FFF4B18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201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left" wrapText="1"/>
    </x:xf>
    <x:xf numFmtId="0" fontId="6" fillId="6" borderId="2" xfId="0" applyNumberFormat="1" applyFont="1" applyFill="1" applyBorder="1" applyAlignment="1">
      <x:alignment horizontal="left" wrapText="1"/>
    </x:xf>
    <x:xf numFmtId="0" fontId="6" fillId="6" borderId="3" xfId="0" applyNumberFormat="1" applyFont="1" applyFill="1" applyBorder="1" applyAlignment="1">
      <x:alignment horizontal="left" wrapText="1"/>
    </x:xf>
    <x:xf numFmtId="0" fontId="6" fillId="6" borderId="4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5" xfId="0" applyNumberFormat="1" applyFont="1" applyFill="1" applyBorder="1" applyAlignment="1">
      <x:alignment horizontal="left" wrapText="1"/>
    </x:xf>
    <x:xf numFmtId="0" fontId="6" fillId="6" borderId="6" xfId="0" applyNumberFormat="1" applyFont="1" applyFill="1" applyBorder="1" applyAlignment="1">
      <x:alignment horizontal="left" wrapText="1"/>
    </x:xf>
    <x:xf numFmtId="0" fontId="6" fillId="6" borderId="7" xfId="0" applyNumberFormat="1" applyFont="1" applyFill="1" applyBorder="1" applyAlignment="1">
      <x:alignment horizontal="left" wrapText="1"/>
    </x:xf>
    <x:xf numFmtId="0" fontId="6" fillId="6" borderId="8" xfId="0" applyNumberFormat="1" applyFont="1" applyFill="1" applyBorder="1" applyAlignment="1">
      <x:alignment horizontal="left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3" fillId="4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201" fontId="11" fillId="5" borderId="0" xfId="0" applyNumberFormat="1" applyFont="1" applyFill="1" applyBorder="1" applyAlignment="1">
      <x:alignment horizontal="center"/>
    </x:xf>
    <x:xf numFmtId="0" fontId="12" fillId="6" borderId="1" xfId="0" applyNumberFormat="1" applyFont="1" applyFill="1" applyBorder="1" applyAlignment="1">
      <x:alignment horizontal="left" vertical="center" wrapText="1"/>
    </x:xf>
    <x:xf numFmtId="0" fontId="12" fillId="6" borderId="2" xfId="0" applyNumberFormat="1" applyFont="1" applyFill="1" applyBorder="1" applyAlignment="1">
      <x:alignment horizontal="left" vertical="center" wrapText="1"/>
    </x:xf>
    <x:xf numFmtId="0" fontId="12" fillId="6" borderId="3" xfId="0" applyNumberFormat="1" applyFont="1" applyFill="1" applyBorder="1" applyAlignment="1">
      <x:alignment horizontal="left" vertical="center" wrapText="1"/>
    </x:xf>
    <x:xf numFmtId="0" fontId="12" fillId="6" borderId="4" xfId="0" applyNumberFormat="1" applyFont="1" applyFill="1" applyBorder="1" applyAlignment="1">
      <x:alignment horizontal="left" vertical="center" wrapText="1"/>
    </x:xf>
    <x:xf numFmtId="0" fontId="12" fillId="6" borderId="0" xfId="0" applyNumberFormat="1" applyFont="1" applyFill="1" applyBorder="1" applyAlignment="1">
      <x:alignment horizontal="left" vertical="center" wrapText="1"/>
    </x:xf>
    <x:xf numFmtId="0" fontId="12" fillId="6" borderId="5" xfId="0" applyNumberFormat="1" applyFont="1" applyFill="1" applyBorder="1" applyAlignment="1">
      <x:alignment horizontal="left" vertical="center" wrapText="1"/>
    </x:xf>
    <x:xf numFmtId="0" fontId="12" fillId="6" borderId="6" xfId="0" applyNumberFormat="1" applyFont="1" applyFill="1" applyBorder="1" applyAlignment="1">
      <x:alignment horizontal="left" vertical="center" wrapText="1"/>
    </x:xf>
    <x:xf numFmtId="0" fontId="12" fillId="6" borderId="7" xfId="0" applyNumberFormat="1" applyFont="1" applyFill="1" applyBorder="1" applyAlignment="1">
      <x:alignment horizontal="left" vertical="center" wrapText="1"/>
    </x:xf>
    <x:xf numFmtId="0" fontId="12" fillId="6" borderId="8" xfId="0" applyNumberFormat="1" applyFont="1" applyFill="1" applyBorder="1" applyAlignment="1">
      <x:alignment horizontal="left" vertical="center" wrapText="1"/>
    </x:xf>
    <x:xf numFmtId="201" fontId="13" fillId="0" borderId="0" xfId="0" applyNumberFormat="1" applyFont="1" applyFill="1" applyBorder="1" applyAlignment="1">
      <x:alignment horizontal="center"/>
    </x:xf>
    <x:xf numFmtId="0" fontId="14" fillId="7" borderId="9" xfId="0" applyNumberFormat="1" applyFont="1" applyFill="1" applyBorder="1" applyAlignment="1">
      <x:alignment wrapText="1"/>
    </x:xf>
    <x:xf numFmtId="0" fontId="14" fillId="7" borderId="10" xfId="0" applyNumberFormat="1" applyFont="1" applyFill="1" applyBorder="1" applyAlignment="1">
      <x:alignment wrapText="1"/>
    </x:xf>
    <x:xf numFmtId="0" fontId="14" fillId="7" borderId="11" xfId="0" applyNumberFormat="1" applyFont="1" applyFill="1" applyBorder="1" applyAlignment="1">
      <x:alignment wrapText="1"/>
    </x:xf>
    <x:xf numFmtId="0" fontId="14" fillId="7" borderId="12" xfId="0" applyNumberFormat="1" applyFont="1" applyFill="1" applyBorder="1" applyAlignment="1">
      <x:alignment wrapText="1"/>
    </x:xf>
    <x:xf numFmtId="0" fontId="14" fillId="7" borderId="13" xfId="0" applyNumberFormat="1" applyFont="1" applyFill="1" applyBorder="1" applyAlignment="1">
      <x:alignment wrapText="1"/>
    </x:xf>
    <x:xf numFmtId="0" fontId="14" fillId="7" borderId="14" xfId="0" applyNumberFormat="1" applyFont="1" applyFill="1" applyBorder="1" applyAlignment="1">
      <x:alignment wrapText="1"/>
    </x:xf>
    <x:xf numFmtId="0" fontId="14" fillId="7" borderId="15" xfId="0" applyNumberFormat="1" applyFont="1" applyFill="1" applyBorder="1" applyAlignment="1">
      <x:alignment wrapText="1"/>
    </x:xf>
    <x:xf numFmtId="0" fontId="14" fillId="7" borderId="16" xfId="0" applyNumberFormat="1" applyFont="1" applyFill="1" applyBorder="1" applyAlignment="1">
      <x:alignment wrapText="1"/>
    </x:xf>
    <x:xf numFmtId="0" fontId="14" fillId="7" borderId="17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1" fontId="11" fillId="5" borderId="0" xfId="0" applyNumberFormat="1" applyFont="1" applyFill="1" applyBorder="1" applyAlignment="1">
      <x:alignment horizontal="center" vertical="center"/>
    </x:xf>
    <x:xf numFmtId="201" fontId="13" fillId="0" borderId="0" xfId="0" applyNumberFormat="1" applyFont="1" applyFill="1" applyBorder="1" applyAlignment="1">
      <x:alignment horizontal="center" vertical="center"/>
    </x:xf>
    <x:xf numFmtId="0" fontId="14" fillId="7" borderId="9" xfId="0" applyNumberFormat="1" applyFont="1" applyFill="1" applyBorder="1" applyAlignment="1">
      <x:alignment vertical="center" wrapText="1"/>
    </x:xf>
    <x:xf numFmtId="0" fontId="14" fillId="7" borderId="10" xfId="0" applyNumberFormat="1" applyFont="1" applyFill="1" applyBorder="1" applyAlignment="1">
      <x:alignment vertical="center" wrapText="1"/>
    </x:xf>
    <x:xf numFmtId="0" fontId="14" fillId="7" borderId="11" xfId="0" applyNumberFormat="1" applyFont="1" applyFill="1" applyBorder="1" applyAlignment="1">
      <x:alignment vertical="center" wrapText="1"/>
    </x:xf>
    <x:xf numFmtId="0" fontId="14" fillId="7" borderId="12" xfId="0" applyNumberFormat="1" applyFont="1" applyFill="1" applyBorder="1" applyAlignment="1">
      <x:alignment vertical="center" wrapText="1"/>
    </x:xf>
    <x:xf numFmtId="0" fontId="14" fillId="7" borderId="13" xfId="0" applyNumberFormat="1" applyFont="1" applyFill="1" applyBorder="1" applyAlignment="1">
      <x:alignment vertical="center" wrapText="1"/>
    </x:xf>
    <x:xf numFmtId="0" fontId="14" fillId="7" borderId="14" xfId="0" applyNumberFormat="1" applyFont="1" applyFill="1" applyBorder="1" applyAlignment="1">
      <x:alignment vertical="center" wrapText="1"/>
    </x:xf>
    <x:xf numFmtId="0" fontId="14" fillId="7" borderId="15" xfId="0" applyNumberFormat="1" applyFont="1" applyFill="1" applyBorder="1" applyAlignment="1">
      <x:alignment vertical="center" wrapText="1"/>
    </x:xf>
    <x:xf numFmtId="0" fontId="14" fillId="7" borderId="16" xfId="0" applyNumberFormat="1" applyFont="1" applyFill="1" applyBorder="1" applyAlignment="1">
      <x:alignment vertical="center" wrapText="1"/>
    </x:xf>
    <x:xf numFmtId="0" fontId="14" fillId="7" borderId="1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/>
    <x:xf numFmtId="0" fontId="15" fillId="8" borderId="18" xfId="0" applyNumberFormat="1" applyFont="1" applyFill="1" applyBorder="1"/>
    <x:xf numFmtId="0" fontId="15" fillId="8" borderId="18" xfId="0" applyNumberFormat="1" applyFont="1" applyFill="1" applyBorder="1" applyAlignment="1">
      <x:alignment wrapText="1"/>
    </x:xf>
    <x:xf numFmtId="0" fontId="15" fillId="8" borderId="18" xfId="0" applyNumberFormat="1" applyFont="1" applyFill="1" applyBorder="1" applyAlignment="1">
      <x:alignment horizontal="center" wrapText="1"/>
    </x:xf>
    <x:xf numFmtId="0" fontId="15" fillId="8" borderId="18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/>
    <x:xf numFmtId="0" fontId="16" fillId="0" borderId="19" xfId="0" applyNumberFormat="1" applyFont="1" applyFill="1" applyBorder="1"/>
    <x:xf numFmtId="0" fontId="16" fillId="0" borderId="20" xfId="0" applyNumberFormat="1" applyFont="1" applyFill="1" applyBorder="1"/>
    <x:xf numFmtId="0" fontId="16" fillId="0" borderId="21" xfId="0" applyNumberFormat="1" applyFont="1" applyFill="1" applyBorder="1"/>
    <x:xf numFmtId="0" fontId="16" fillId="0" borderId="19" xfId="0" applyNumberFormat="1" applyFont="1" applyFill="1" applyBorder="1" applyAlignment="1">
      <x:alignment vertical="top"/>
    </x:xf>
    <x:xf numFmtId="0" fontId="16" fillId="0" borderId="20" xfId="0" applyNumberFormat="1" applyFont="1" applyFill="1" applyBorder="1" applyAlignment="1">
      <x:alignment vertical="top"/>
    </x:xf>
    <x:xf numFmtId="0" fontId="16" fillId="0" borderId="21" xfId="0" applyNumberFormat="1" applyFont="1" applyFill="1" applyBorder="1" applyAlignment="1">
      <x:alignment vertical="top"/>
    </x:xf>
    <x:xf numFmtId="200" fontId="16" fillId="0" borderId="19" xfId="0" applyNumberFormat="1" applyFont="1" applyFill="1" applyBorder="1" applyAlignment="1">
      <x:alignment vertical="top"/>
    </x:xf>
    <x:xf numFmtId="200" fontId="16" fillId="0" borderId="20" xfId="0" applyNumberFormat="1" applyFont="1" applyFill="1" applyBorder="1" applyAlignment="1">
      <x:alignment vertical="top"/>
    </x:xf>
    <x:xf numFmtId="200" fontId="16" fillId="0" borderId="21" xfId="0" applyNumberFormat="1" applyFont="1" applyFill="1" applyBorder="1" applyAlignment="1">
      <x:alignment vertical="top"/>
    </x:xf>
    <x:xf numFmtId="202" fontId="16" fillId="0" borderId="19" xfId="0" applyNumberFormat="1" applyFont="1" applyFill="1" applyBorder="1" applyAlignment="1">
      <x:alignment vertical="top"/>
    </x:xf>
    <x:xf numFmtId="202" fontId="16" fillId="0" borderId="20" xfId="0" applyNumberFormat="1" applyFont="1" applyFill="1" applyBorder="1" applyAlignment="1">
      <x:alignment vertical="top"/>
    </x:xf>
    <x:xf numFmtId="202" fontId="16" fillId="0" borderId="21" xfId="0" applyNumberFormat="1" applyFont="1" applyFill="1" applyBorder="1" applyAlignment="1">
      <x:alignment vertical="top"/>
    </x:xf>
    <x:xf numFmtId="203" fontId="16" fillId="0" borderId="19" xfId="0" applyNumberFormat="1" applyFont="1" applyFill="1" applyBorder="1" applyAlignment="1">
      <x:alignment vertical="top"/>
    </x:xf>
    <x:xf numFmtId="203" fontId="16" fillId="0" borderId="20" xfId="0" applyNumberFormat="1" applyFont="1" applyFill="1" applyBorder="1" applyAlignment="1">
      <x:alignment vertical="top"/>
    </x:xf>
    <x:xf numFmtId="203" fontId="16" fillId="0" borderId="21" xfId="0" applyNumberFormat="1" applyFont="1" applyFill="1" applyBorder="1" applyAlignment="1">
      <x:alignment vertical="top"/>
    </x:xf>
    <x:xf numFmtId="204" fontId="16" fillId="0" borderId="19" xfId="0" applyNumberFormat="1" applyFont="1" applyFill="1" applyBorder="1" applyAlignment="1">
      <x:alignment vertical="top"/>
    </x:xf>
    <x:xf numFmtId="204" fontId="16" fillId="0" borderId="20" xfId="0" applyNumberFormat="1" applyFont="1" applyFill="1" applyBorder="1" applyAlignment="1">
      <x:alignment vertical="top"/>
    </x:xf>
    <x:xf numFmtId="204" fontId="16" fillId="0" borderId="21" xfId="0" applyNumberFormat="1" applyFont="1" applyFill="1" applyBorder="1" applyAlignment="1">
      <x:alignment vertical="top"/>
    </x:xf>
    <x:xf numFmtId="0" fontId="16" fillId="0" borderId="19" xfId="0" applyNumberFormat="1" applyFont="1" applyFill="1" applyBorder="1" applyAlignment="1">
      <x:alignment vertical="top" wrapText="1"/>
    </x:xf>
    <x:xf numFmtId="0" fontId="16" fillId="0" borderId="20" xfId="0" applyNumberFormat="1" applyFont="1" applyFill="1" applyBorder="1" applyAlignment="1">
      <x:alignment vertical="top" wrapText="1"/>
    </x:xf>
    <x:xf numFmtId="0" fontId="16" fillId="0" borderId="21" xfId="0" applyNumberFormat="1" applyFont="1" applyFill="1" applyBorder="1" applyAlignment="1">
      <x:alignment vertical="top" wrapText="1"/>
    </x:xf>
    <x:xf numFmtId="205" fontId="16" fillId="0" borderId="19" xfId="0" applyNumberFormat="1" applyFont="1" applyFill="1" applyBorder="1" applyAlignment="1">
      <x:alignment vertical="top"/>
    </x:xf>
    <x:xf numFmtId="205" fontId="16" fillId="0" borderId="20" xfId="0" applyNumberFormat="1" applyFont="1" applyFill="1" applyBorder="1" applyAlignment="1">
      <x:alignment vertical="top"/>
    </x:xf>
    <x:xf numFmtId="205" fontId="16" fillId="0" borderId="21" xfId="0" applyNumberFormat="1" applyFont="1" applyFill="1" applyBorder="1" applyAlignment="1">
      <x:alignment vertical="top"/>
    </x:xf>
    <x:xf numFmtId="206" fontId="16" fillId="0" borderId="19" xfId="0" applyNumberFormat="1" applyFont="1" applyFill="1" applyBorder="1" applyAlignment="1">
      <x:alignment vertical="top"/>
    </x:xf>
    <x:xf numFmtId="206" fontId="16" fillId="0" borderId="20" xfId="0" applyNumberFormat="1" applyFont="1" applyFill="1" applyBorder="1" applyAlignment="1">
      <x:alignment vertical="top"/>
    </x:xf>
    <x:xf numFmtId="206" fontId="16" fillId="0" borderId="21" xfId="0" applyNumberFormat="1" applyFont="1" applyFill="1" applyBorder="1" applyAlignment="1">
      <x:alignment vertical="top"/>
    </x:xf>
    <x:xf numFmtId="201" fontId="16" fillId="0" borderId="19" xfId="0" applyNumberFormat="1" applyFont="1" applyFill="1" applyBorder="1" applyAlignment="1">
      <x:alignment vertical="top"/>
    </x:xf>
    <x:xf numFmtId="201" fontId="16" fillId="0" borderId="20" xfId="0" applyNumberFormat="1" applyFont="1" applyFill="1" applyBorder="1" applyAlignment="1">
      <x:alignment vertical="top"/>
    </x:xf>
    <x:xf numFmtId="201" fontId="16" fillId="0" borderId="21" xfId="0" applyNumberFormat="1" applyFont="1" applyFill="1" applyBorder="1" applyAlignment="1">
      <x:alignment vertical="top"/>
    </x:xf>
    <x:xf numFmtId="207" fontId="16" fillId="0" borderId="19" xfId="0" applyNumberFormat="1" applyFont="1" applyFill="1" applyBorder="1" applyAlignment="1">
      <x:alignment vertical="top"/>
    </x:xf>
    <x:xf numFmtId="207" fontId="16" fillId="0" borderId="20" xfId="0" applyNumberFormat="1" applyFont="1" applyFill="1" applyBorder="1" applyAlignment="1">
      <x:alignment vertical="top"/>
    </x:xf>
    <x:xf numFmtId="207" fontId="16" fillId="0" borderId="21" xfId="0" applyNumberFormat="1" applyFont="1" applyFill="1" applyBorder="1" applyAlignment="1">
      <x:alignment vertical="top"/>
    </x:xf>
    <x:xf numFmtId="0" fontId="16" fillId="0" borderId="22" xfId="0" applyNumberFormat="1" applyFont="1" applyFill="1" applyBorder="1"/>
    <x:xf numFmtId="0" fontId="16" fillId="0" borderId="22" xfId="0" applyNumberFormat="1" applyFont="1" applyFill="1" applyBorder="1" applyAlignment="1">
      <x:alignment vertical="top"/>
    </x:xf>
    <x:xf numFmtId="203" fontId="16" fillId="0" borderId="22" xfId="0" applyNumberFormat="1" applyFont="1" applyFill="1" applyBorder="1" applyAlignment="1">
      <x:alignment vertical="top"/>
    </x:xf>
    <x:xf numFmtId="204" fontId="16" fillId="0" borderId="22" xfId="0" applyNumberFormat="1" applyFont="1" applyFill="1" applyBorder="1" applyAlignment="1">
      <x:alignment vertical="top"/>
    </x:xf>
    <x:xf numFmtId="0" fontId="16" fillId="9" borderId="22" xfId="0" applyNumberFormat="1" applyFont="1" applyFill="1" applyBorder="1" applyAlignment="1">
      <x:alignment vertical="top"/>
    </x:xf>
    <x:xf numFmtId="0" fontId="17" fillId="9" borderId="22" xfId="0" applyNumberFormat="1" applyFont="1" applyFill="1" applyBorder="1" applyAlignment="1">
      <x:alignment vertical="top"/>
    </x:xf>
    <x:xf numFmtId="0" fontId="17" fillId="9" borderId="22" xfId="0" applyNumberFormat="1" applyFont="1" applyFill="1" applyBorder="1" applyAlignment="1">
      <x:alignment horizontal="center" vertical="top"/>
    </x:xf>
    <x:xf numFmtId="0" fontId="16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c0206ea784065" /><Relationship Type="http://schemas.openxmlformats.org/officeDocument/2006/relationships/theme" Target="/xl/theme/theme1.xml" Id="Rd444fc2497d64236" /><Relationship Type="http://schemas.openxmlformats.org/officeDocument/2006/relationships/sharedStrings" Target="/xl/sharedStrings.xml" Id="R776300bdd6e94ba2" /><Relationship Type="http://schemas.openxmlformats.org/officeDocument/2006/relationships/worksheet" Target="/xl/worksheets/sheet1.xml" Id="R2bcede762c3c4a3a" /><Relationship Type="http://schemas.openxmlformats.org/officeDocument/2006/relationships/worksheet" Target="/xl/worksheets/sheet2.xml" Id="Rbc8e7ef953314805" /><Relationship Type="http://schemas.openxmlformats.org/officeDocument/2006/relationships/worksheet" Target="/xl/worksheets/sheet3.xml" Id="R7329ed77bc684639" /><Relationship Type="http://schemas.openxmlformats.org/officeDocument/2006/relationships/worksheet" Target="/xl/worksheets/sheet4.xml" Id="Rb2902a0bf2024ce7" /><Relationship Type="http://schemas.openxmlformats.org/officeDocument/2006/relationships/worksheet" Target="/xl/worksheets/sheet5.xml" Id="R8a229e2d67c34abb" /><Relationship Type="http://schemas.openxmlformats.org/officeDocument/2006/relationships/worksheet" Target="/xl/worksheets/sheet6.xml" Id="Rd2faa4921253488f" /><Relationship Type="http://schemas.openxmlformats.org/officeDocument/2006/relationships/worksheet" Target="/xl/worksheets/sheet7.xml" Id="R0595dc9e491345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22ca2dc1c14c0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Analytical Sample Size by Candidate Model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sample_size</c:v>
          </c:tx>
          <c:cat>
            <c:strRef>
              <c:f>'Model Summary'!$A$2:$A$15</c:f>
              <c:strCache>
                <c:ptCount val="0"/>
              </c:strCache>
            </c:strRef>
          </c:cat>
          <c:val>
            <c:numRef>
              <c:f>'Model Summary'!$B$2:$B$15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22ca2dc1c14c0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Listings" displayName="RawListings" ref="A1:Q204" headerRowCount="1" totalsRowCount="0" totalsRowShown="0">
  <x:tableColumns count="17">
    <x:tableColumn id="1" name="record_id"/>
    <x:tableColumn id="2" name="collection_date"/>
    <x:tableColumn id="3" name="city"/>
    <x:tableColumn id="4" name="make"/>
    <x:tableColumn id="5" name="model"/>
    <x:tableColumn id="6" name="trim"/>
    <x:tableColumn id="7" name="model_year"/>
    <x:tableColumn id="8" name="price_cad"/>
    <x:tableColumn id="9" name="mileage_km"/>
    <x:tableColumn id="10" name="body_style"/>
    <x:tableColumn id="11" name="drivetrain"/>
    <x:tableColumn id="12" name="engine"/>
    <x:tableColumn id="13" name="fuel_type"/>
    <x:tableColumn id="14" name="transmission"/>
    <x:tableColumn id="15" name="deal_rating"/>
    <x:tableColumn id="16" name="generation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sisListings" displayName="AnalysisListings" ref="A1:Z204" headerRowCount="1" totalsRowCount="0" totalsRowShown="0">
  <x:tableColumns count="26">
    <x:tableColumn id="1" name="record_id"/>
    <x:tableColumn id="2" name="collection_date"/>
    <x:tableColumn id="3" name="city"/>
    <x:tableColumn id="4" name="make"/>
    <x:tableColumn id="5" name="model"/>
    <x:tableColumn id="6" name="trim"/>
    <x:tableColumn id="7" name="model_year"/>
    <x:tableColumn id="8" name="price_cad"/>
    <x:tableColumn id="9" name="mileage_km"/>
    <x:tableColumn id="10" name="body_style"/>
    <x:tableColumn id="11" name="drivetrain"/>
    <x:tableColumn id="12" name="engine"/>
    <x:tableColumn id="13" name="fuel_type"/>
    <x:tableColumn id="14" name="transmission"/>
    <x:tableColumn id="15" name="deal_rating"/>
    <x:tableColumn id="16" name="generation"/>
    <x:tableColumn id="17" name="notes"/>
    <x:tableColumn id="18" name="analysis_model"/>
    <x:tableColumn id="19" name="segment"/>
    <x:tableColumn id="20" name="vehicle_age"/>
    <x:tableColumn id="21" name="mileage_per_year"/>
    <x:tableColumn id="22" name="powertrain_group"/>
    <x:tableColumn id="23" name="performance_flag"/>
    <x:tableColumn id="24" name="mileage_flag"/>
    <x:tableColumn id="25" name="analysis_include"/>
    <x:tableColumn id="26" name="exclus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Results" displayName="ModelResults" ref="A1:L15" headerRowCount="1" totalsRowCount="0" totalsRowShown="0">
  <x:tableColumns count="12">
    <x:tableColumn id="1" name="analysis_model"/>
    <x:tableColumn id="2" name="sample_size"/>
    <x:tableColumn id="3" name="mean_price_cad"/>
    <x:tableColumn id="4" name="median_price_cad"/>
    <x:tableColumn id="5" name="min_price_cad"/>
    <x:tableColumn id="6" name="max_price_cad"/>
    <x:tableColumn id="7" name="mean_mileage_km"/>
    <x:tableColumn id="8" name="min_model_year"/>
    <x:tableColumn id="9" name="max_model_year"/>
    <x:tableColumn id="10" name="observed_drivetrains"/>
    <x:tableColumn id="11" name="observed_engines"/>
    <x:tableColumn id="12" name="observed_tri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Results" displayName="SegmentResults" ref="A1:H4" headerRowCount="1" totalsRowCount="0" totalsRowShown="0">
  <x:tableColumns count="8">
    <x:tableColumn id="1" name="segment"/>
    <x:tableColumn id="2" name="sample_size"/>
    <x:tableColumn id="3" name="mean_price_cad"/>
    <x:tableColumn id="4" name="median_price_cad"/>
    <x:tableColumn id="5" name="min_price_cad"/>
    <x:tableColumn id="6" name="max_price_cad"/>
    <x:tableColumn id="7" name="mean_mileage_km"/>
    <x:tableColumn id="8" name="mean_vehicle_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ludedObservations" displayName="ExcludedObservations" ref="A1:J2" headerRowCount="1" totalsRowCount="0" totalsRowShown="0">
  <x:tableColumns count="10">
    <x:tableColumn id="1" name="record_id"/>
    <x:tableColumn id="2" name="analysis_model"/>
    <x:tableColumn id="3" name="make"/>
    <x:tableColumn id="4" name="model"/>
    <x:tableColumn id="5" name="trim"/>
    <x:tableColumn id="6" name="model_year"/>
    <x:tableColumn id="7" name="price_cad"/>
    <x:tableColumn id="8" name="mileage_km"/>
    <x:tableColumn id="9" name="analysis_include"/>
    <x:tableColumn id="10" name="exclusion_rea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Definitions" displayName="FieldDefinitions" ref="A1:D27" headerRowCount="1" totalsRowCount="0" totalsRowShown="0">
  <x:tableColumns count="4">
    <x:tableColumn id="1" name="field_name"/>
    <x:tableColumn id="2" name="definition"/>
    <x:tableColumn id="3" name="unit_or_typ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107bd31bc94f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06a17aea3e4c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e60e089ebe54f5a" /><Relationship Type="http://schemas.openxmlformats.org/officeDocument/2006/relationships/table" Target="/xl/tables/table3.xml" Id="Re8759c48217f4b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83b6b2a69340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8144acff084c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16093593f046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6" hidden="0" customWidth="1"/>
    <x:col min="3" max="3" width="3" hidden="0" customWidth="1"/>
    <x:col min="4" max="4" width="30" hidden="0" customWidth="1"/>
    <x:col min="5" max="5" width="12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4" customHeight="1">
      <x:c r="A1" s="77" t="str">
        <x:v>Used-Car Market Analysis — Submission Data Workbook</x:v>
      </x:c>
      <x:c r="B1" s="77" t="str">
        <x:v>Used-Car Market Analysis — Submission Data Workbook</x:v>
      </x:c>
      <x:c r="C1" s="77" t="str">
        <x:v>Used-Car Market Analysis — Submission Data Workbook</x:v>
      </x:c>
      <x:c r="D1" s="77" t="str">
        <x:v>Used-Car Market Analysis — Submission Data Workbook</x:v>
      </x:c>
      <x:c r="E1" s="77" t="str">
        <x:v>Used-Car Market Analysis — Submission Data Workbook</x:v>
      </x:c>
      <x:c r="F1" s="77" t="str">
        <x:v>Used-Car Market Analysis — Submission Data Workbook</x:v>
      </x:c>
      <x:c r="G1" s="77" t="str">
        <x:v>Used-Car Market Analysis — Submission Data Workbook</x:v>
      </x:c>
      <x:c r="H1" s="77" t="str">
        <x:v>Used-Car Market Analysis — Submission Data Workbook</x:v>
      </x:c>
    </x:row>
    <x:row r="2">
      <x:c r="A2" s="102" t="str">
        <x:v>Prepared to accompany the paper: Used-Car Market Analysis and Personal Purchase Decision</x:v>
      </x:c>
      <x:c r="B2" s="102"/>
      <x:c r="C2" s="102"/>
      <x:c r="D2" s="102"/>
      <x:c r="E2" s="102"/>
      <x:c r="F2" s="102"/>
      <x:c r="G2" s="102"/>
      <x:c r="H2" s="102"/>
    </x:row>
    <x:row r="3">
      <x:c r="A3" s="103"/>
      <x:c r="B3" s="103"/>
      <x:c r="C3" s="103"/>
      <x:c r="D3" s="103"/>
      <x:c r="E3" s="103"/>
      <x:c r="F3" s="103"/>
      <x:c r="G3" s="103"/>
      <x:c r="H3" s="103"/>
    </x:row>
    <x:row r="4" ht="24" customHeight="1">
      <x:c r="A4" s="8" t="str">
        <x:v>Study scope and data provenance</x:v>
      </x:c>
      <x:c r="B4" s="8" t="str">
        <x:v>Study scope and data provenance</x:v>
      </x:c>
      <x:c r="C4" s="8" t="str">
        <x:v>Study scope and data provenance</x:v>
      </x:c>
      <x:c r="D4" s="8" t="str">
        <x:v>Study scope and data provenance</x:v>
      </x:c>
      <x:c r="E4" s="8" t="str">
        <x:v>Study scope and data provenance</x:v>
      </x:c>
      <x:c r="F4" s="8" t="str">
        <x:v>Study scope and data provenance</x:v>
      </x:c>
      <x:c r="G4" s="8" t="str">
        <x:v>Study scope and data provenance</x:v>
      </x:c>
      <x:c r="H4" s="8" t="str">
        <x:v>Study scope and data provenance</x:v>
      </x:c>
    </x:row>
    <x:row r="5">
      <x:c r="A5" s="104" t="str">
        <x:v>Primary market</x:v>
      </x:c>
      <x:c r="B5" s="105" t="str">
        <x:v>Greater Toronto Area and other Ontario locations within practical inspection distance</x:v>
      </x:c>
      <x:c r="C5" s="103"/>
      <x:c r="D5" s="103"/>
      <x:c r="E5" s="103"/>
      <x:c r="F5" s="103"/>
      <x:c r="G5" s="103"/>
      <x:c r="H5" s="103"/>
    </x:row>
    <x:row r="6">
      <x:c r="A6" s="104" t="str">
        <x:v>Primary listing platform</x:v>
      </x:c>
      <x:c r="B6" s="105" t="str">
        <x:v>CarGurus</x:v>
      </x:c>
      <x:c r="C6" s="103"/>
      <x:c r="D6" s="103"/>
      <x:c r="E6" s="103"/>
      <x:c r="F6" s="103"/>
      <x:c r="G6" s="103"/>
      <x:c r="H6" s="103"/>
    </x:row>
    <x:row r="7">
      <x:c r="A7" s="104" t="str">
        <x:v>Collection date</x:v>
      </x:c>
      <x:c r="B7" s="106" t="n">
        <x:v>46233</x:v>
      </x:c>
      <x:c r="C7" s="103"/>
      <x:c r="D7" s="103"/>
      <x:c r="E7" s="103"/>
      <x:c r="F7" s="103"/>
      <x:c r="G7" s="103"/>
      <x:c r="H7" s="103"/>
    </x:row>
    <x:row r="8">
      <x:c r="A8" s="104" t="str">
        <x:v>Vehicle status</x:v>
      </x:c>
      <x:c r="B8" s="105" t="str">
        <x:v>Used vehicle listings</x:v>
      </x:c>
      <x:c r="C8" s="103"/>
      <x:c r="D8" s="103"/>
      <x:c r="E8" s="103"/>
      <x:c r="F8" s="103"/>
      <x:c r="G8" s="103"/>
      <x:c r="H8" s="103"/>
    </x:row>
    <x:row r="9">
      <x:c r="A9" s="104" t="str">
        <x:v>Price definition</x:v>
      </x:c>
      <x:c r="B9" s="105" t="str">
        <x:v>Advertised listing price, not final transaction price</x:v>
      </x:c>
      <x:c r="C9" s="103"/>
      <x:c r="D9" s="103"/>
      <x:c r="E9" s="103"/>
      <x:c r="F9" s="103"/>
      <x:c r="G9" s="103"/>
      <x:c r="H9" s="103"/>
    </x:row>
    <x:row r="10">
      <x:c r="A10" s="104" t="str">
        <x:v>Initial sampling goal</x:v>
      </x:c>
      <x:c r="B10" s="105" t="str">
        <x:v>Approximately 20–25 listings per model where market availability allowed</x:v>
      </x:c>
      <x:c r="C10" s="103"/>
      <x:c r="D10" s="103"/>
      <x:c r="E10" s="103"/>
      <x:c r="F10" s="103"/>
      <x:c r="G10" s="103"/>
      <x:c r="H10" s="103"/>
    </x:row>
    <x:row r="11">
      <x:c r="A11" s="104" t="str">
        <x:v>Availability limitation</x:v>
      </x:c>
      <x:c r="B11" s="105" t="str">
        <x:v>Low-availability models were retained with smaller samples and should be interpreted cautiously</x:v>
      </x:c>
      <x:c r="C11" s="103"/>
      <x:c r="D11" s="103"/>
      <x:c r="E11" s="103"/>
      <x:c r="F11" s="103"/>
      <x:c r="G11" s="103"/>
      <x:c r="H11" s="103"/>
    </x:row>
    <x:row r="12">
      <x:c r="A12" s="103"/>
      <x:c r="B12" s="103"/>
      <x:c r="C12" s="103"/>
      <x:c r="D12" s="103"/>
      <x:c r="E12" s="103"/>
      <x:c r="F12" s="103"/>
      <x:c r="G12" s="103"/>
      <x:c r="H12" s="103"/>
    </x:row>
    <x:row r="13" ht="24" customHeight="1">
      <x:c r="A13" s="8" t="str">
        <x:v>Reproducibility summary</x:v>
      </x:c>
      <x:c r="B13" s="8" t="str">
        <x:v>Reproducibility summary</x:v>
      </x:c>
      <x:c r="C13" s="8" t="str">
        <x:v>Reproducibility summary</x:v>
      </x:c>
      <x:c r="D13" s="8" t="str">
        <x:v>Reproducibility summary</x:v>
      </x:c>
      <x:c r="E13" s="8" t="str">
        <x:v>Reproducibility summary</x:v>
      </x:c>
      <x:c r="F13" s="8" t="str">
        <x:v>Reproducibility summary</x:v>
      </x:c>
      <x:c r="G13" s="8" t="str">
        <x:v>Reproducibility summary</x:v>
      </x:c>
      <x:c r="H13" s="8" t="str">
        <x:v>Reproducibility summary</x:v>
      </x:c>
    </x:row>
    <x:row r="14">
      <x:c r="A14" s="104" t="str">
        <x:v>Raw records</x:v>
      </x:c>
      <x:c r="B14" s="107" t="n">
        <x:f>COUNTA('Raw Data'!$A$2:$A$204)</x:f>
        <x:v>203</x:v>
      </x:c>
      <x:c r="C14" s="103"/>
      <x:c r="D14" s="83" t="str">
        <x:v>Final analytical sample: 202 listings across 14 candidate models. The Mercedes-AMG C43 record remains preserved in both data sheets but is explicitly excluded from the analytical sample because it falls outside the predefined C300 candidate category.</x:v>
      </x:c>
      <x:c r="E14" s="84"/>
      <x:c r="F14" s="84"/>
      <x:c r="G14" s="84"/>
      <x:c r="H14" s="85"/>
    </x:row>
    <x:row r="15">
      <x:c r="A15" s="104" t="str">
        <x:v>Processed records</x:v>
      </x:c>
      <x:c r="B15" s="107" t="n">
        <x:f>COUNTA('Analysis Data'!$A$2:$A$204)</x:f>
        <x:v>203</x:v>
      </x:c>
      <x:c r="C15" s="103"/>
      <x:c r="D15" s="86"/>
      <x:c r="E15" s="87"/>
      <x:c r="F15" s="87"/>
      <x:c r="G15" s="87"/>
      <x:c r="H15" s="88"/>
    </x:row>
    <x:row r="16">
      <x:c r="A16" s="104" t="str">
        <x:v>Included analytical records</x:v>
      </x:c>
      <x:c r="B16" s="107" t="n">
        <x:f>COUNTIF('Analysis Data'!$Y$2:$Y$204,"Yes")</x:f>
        <x:v>202</x:v>
      </x:c>
      <x:c r="C16" s="103"/>
      <x:c r="D16" s="86"/>
      <x:c r="E16" s="87"/>
      <x:c r="F16" s="87"/>
      <x:c r="G16" s="87"/>
      <x:c r="H16" s="88"/>
    </x:row>
    <x:row r="17">
      <x:c r="A17" s="104" t="str">
        <x:v>Excluded records</x:v>
      </x:c>
      <x:c r="B17" s="107" t="n">
        <x:f>COUNTIF('Analysis Data'!$Y$2:$Y$204,"No")</x:f>
        <x:v>1</x:v>
      </x:c>
      <x:c r="C17" s="103"/>
      <x:c r="D17" s="86"/>
      <x:c r="E17" s="87"/>
      <x:c r="F17" s="87"/>
      <x:c r="G17" s="87"/>
      <x:c r="H17" s="88"/>
    </x:row>
    <x:row r="18">
      <x:c r="A18" s="104" t="str">
        <x:v>Candidate models</x:v>
      </x:c>
      <x:c r="B18" s="107" t="n">
        <x:f>COUNTA('Model Summary'!$A$2:$A$15)</x:f>
        <x:v>14</x:v>
      </x:c>
      <x:c r="C18" s="103"/>
      <x:c r="D18" s="86"/>
      <x:c r="E18" s="87"/>
      <x:c r="F18" s="87"/>
      <x:c r="G18" s="87"/>
      <x:c r="H18" s="88"/>
    </x:row>
    <x:row r="19">
      <x:c r="A19" s="104" t="str">
        <x:v>Market segments</x:v>
      </x:c>
      <x:c r="B19" s="107" t="n">
        <x:f>COUNTA('Segment Summary'!$A$2:$A$4)</x:f>
        <x:v>3</x:v>
      </x:c>
      <x:c r="C19" s="103"/>
      <x:c r="D19" s="89"/>
      <x:c r="E19" s="90"/>
      <x:c r="F19" s="90"/>
      <x:c r="G19" s="90"/>
      <x:c r="H19" s="91"/>
    </x:row>
    <x:row r="20">
      <x:c r="A20" s="103"/>
      <x:c r="B20" s="103"/>
      <x:c r="C20" s="103"/>
      <x:c r="D20" s="103"/>
      <x:c r="E20" s="103"/>
      <x:c r="F20" s="103"/>
      <x:c r="G20" s="103"/>
      <x:c r="H20" s="103"/>
    </x:row>
    <x:row r="21" ht="24" customHeight="1">
      <x:c r="A21" s="8" t="str">
        <x:v>Workbook structure</x:v>
      </x:c>
      <x:c r="B21" s="8" t="str">
        <x:v>Workbook structure</x:v>
      </x:c>
      <x:c r="C21" s="8" t="str">
        <x:v>Workbook structure</x:v>
      </x:c>
      <x:c r="D21" s="8" t="str">
        <x:v>Data-quality checks</x:v>
      </x:c>
      <x:c r="E21" s="8" t="str">
        <x:v>Data-quality checks</x:v>
      </x:c>
      <x:c r="F21" s="8" t="str">
        <x:v>Data-quality checks</x:v>
      </x:c>
      <x:c r="G21" s="8" t="str">
        <x:v>Data-quality checks</x:v>
      </x:c>
      <x:c r="H21" s="8" t="str">
        <x:v>Data-quality checks</x:v>
      </x:c>
    </x:row>
    <x:row r="22">
      <x:c r="A22" s="104" t="str">
        <x:v>Raw Data</x:v>
      </x:c>
      <x:c r="B22" s="105" t="str">
        <x:v>Original 203 listing records; preserved without analytical exclusions.</x:v>
      </x:c>
      <x:c r="C22" s="103"/>
      <x:c r="D22" s="104" t="str">
        <x:v>Duplicate record IDs</x:v>
      </x:c>
      <x:c r="E22" s="108" t="n">
        <x:f>COUNTA('Raw Data'!$A$2:$A$204)-ROWS(_xlfn.UNIQUE('Raw Data'!$A$2:$A$204))</x:f>
        <x:v>0</x:v>
      </x:c>
      <x:c r="F22" s="103"/>
      <x:c r="G22" s="103"/>
      <x:c r="H22" s="103"/>
    </x:row>
    <x:row r="23">
      <x:c r="A23" s="104" t="str">
        <x:v>Analysis Data</x:v>
      </x:c>
      <x:c r="B23" s="105" t="str">
        <x:v>Processed variables and transparent inclusion/exclusion logic.</x:v>
      </x:c>
      <x:c r="C23" s="103"/>
      <x:c r="D23" s="104" t="str">
        <x:v>Critical missing values</x:v>
      </x:c>
      <x:c r="E23" s="108" t="n">
        <x:f>COUNTBLANK('Analysis Data'!$A$2:$A$204)+COUNTBLANK('Analysis Data'!$R$2:$R$204)+COUNTBLANK('Analysis Data'!$H$2:$H$204)+COUNTBLANK('Analysis Data'!$I$2:$I$204)</x:f>
        <x:v>0</x:v>
      </x:c>
      <x:c r="F23" s="103"/>
      <x:c r="G23" s="103"/>
      <x:c r="H23" s="103"/>
    </x:row>
    <x:row r="24">
      <x:c r="A24" s="104" t="str">
        <x:v>Model Summary</x:v>
      </x:c>
      <x:c r="B24" s="105" t="str">
        <x:v>Formula-driven results for the 14 candidate models.</x:v>
      </x:c>
      <x:c r="C24" s="103"/>
      <x:c r="D24" s="104" t="str">
        <x:v>Excluded observations</x:v>
      </x:c>
      <x:c r="E24" s="108" t="n">
        <x:f>'README'!$B$17</x:f>
        <x:v>1</x:v>
      </x:c>
      <x:c r="F24" s="103"/>
      <x:c r="G24" s="103"/>
      <x:c r="H24" s="103"/>
    </x:row>
    <x:row r="25">
      <x:c r="A25" s="104" t="str">
        <x:v>Segment Summary</x:v>
      </x:c>
      <x:c r="B25" s="105" t="str">
        <x:v>Formula-driven results for the three market segments.</x:v>
      </x:c>
      <x:c r="C25" s="103"/>
      <x:c r="D25" s="104" t="str">
        <x:v>Minimum model sample size</x:v>
      </x:c>
      <x:c r="E25" s="108" t="n">
        <x:f>MIN('Model Summary'!$B$2:$B$15)</x:f>
        <x:v>2</x:v>
      </x:c>
      <x:c r="F25" s="103"/>
      <x:c r="G25" s="103"/>
      <x:c r="H25" s="103"/>
    </x:row>
    <x:row r="26">
      <x:c r="A26" s="104" t="str">
        <x:v>Exclusion Log</x:v>
      </x:c>
      <x:c r="B26" s="105" t="str">
        <x:v>Audit trail for observations excluded from the final sample.</x:v>
      </x:c>
      <x:c r="C26" s="103"/>
      <x:c r="D26" s="104" t="str">
        <x:v>Maximum model sample size</x:v>
      </x:c>
      <x:c r="E26" s="108" t="n">
        <x:f>MAX('Model Summary'!$B$2:$B$15)</x:f>
        <x:v>24</x:v>
      </x:c>
      <x:c r="F26" s="103"/>
      <x:c r="G26" s="103"/>
      <x:c r="H26" s="103"/>
    </x:row>
    <x:row r="27">
      <x:c r="A27" s="104" t="str">
        <x:v>Data Dictionary</x:v>
      </x:c>
      <x:c r="B27" s="105" t="str">
        <x:v>Definitions and units for every analytical field.</x:v>
      </x:c>
      <x:c r="C27" s="103"/>
      <x:c r="D27" s="104" t="str">
        <x:v>Preserved AMG C43 records</x:v>
      </x:c>
      <x:c r="E27" s="108" t="n">
        <x:f>COUNTIF('Analysis Data'!$R$2:$R$204,"AMG C43")</x:f>
        <x:v>1</x:v>
      </x:c>
      <x:c r="F27" s="103"/>
      <x:c r="G27" s="103"/>
      <x:c r="H27" s="103"/>
    </x:row>
    <x:row r="28">
      <x:c r="A28" s="104" t="str">
        <x:v>README</x:v>
      </x:c>
      <x:c r="B28" s="105" t="str">
        <x:v>Scope, limitations, and submission notes.</x:v>
      </x:c>
      <x:c r="C28" s="103"/>
      <x:c r="D28" s="103"/>
      <x:c r="E28" s="103"/>
      <x:c r="F28" s="103"/>
      <x:c r="G28" s="103"/>
      <x:c r="H28" s="103"/>
    </x:row>
    <x:row r="29">
      <x:c r="A29" s="103"/>
      <x:c r="B29" s="103"/>
      <x:c r="C29" s="103"/>
      <x:c r="D29" s="103"/>
      <x:c r="E29" s="103"/>
      <x:c r="F29" s="103"/>
      <x:c r="G29" s="103"/>
      <x:c r="H29" s="103"/>
    </x:row>
    <x:row r="30" ht="24" customHeight="1">
      <x:c r="A30" s="8" t="str">
        <x:v>Known limitations — retained for transparent submission</x:v>
      </x:c>
      <x:c r="B30" s="8" t="str">
        <x:v>Known limitations — retained for transparent submission</x:v>
      </x:c>
      <x:c r="C30" s="8" t="str">
        <x:v>Known limitations — retained for transparent submission</x:v>
      </x:c>
      <x:c r="D30" s="8" t="str">
        <x:v>Known limitations — retained for transparent submission</x:v>
      </x:c>
      <x:c r="E30" s="8" t="str">
        <x:v>Known limitations — retained for transparent submission</x:v>
      </x:c>
      <x:c r="F30" s="8" t="str">
        <x:v>Known limitations — retained for transparent submission</x:v>
      </x:c>
      <x:c r="G30" s="8" t="str">
        <x:v>Known limitations — retained for transparent submission</x:v>
      </x:c>
      <x:c r="H30" s="8" t="str">
        <x:v>Known limitations — retained for transparent submission</x:v>
      </x:c>
    </x:row>
    <x:row r="31" ht="26" customHeight="1">
      <x:c r="A31" s="109" t="str">
        <x:v>1. Individual listing URLs were not retained in the source workbook; the platform is documented as CarGurus.</x:v>
      </x:c>
      <x:c r="B31" s="110"/>
      <x:c r="C31" s="110"/>
      <x:c r="D31" s="110"/>
      <x:c r="E31" s="110"/>
      <x:c r="F31" s="110"/>
      <x:c r="G31" s="110"/>
      <x:c r="H31" s="111"/>
    </x:row>
    <x:row r="32" ht="26" customHeight="1">
      <x:c r="A32" s="112" t="str">
        <x:v>2. Insurance-premium estimates and their quote conditions are not contained in this workbook.</x:v>
      </x:c>
      <x:c r="B32" s="113"/>
      <x:c r="C32" s="113"/>
      <x:c r="D32" s="113"/>
      <x:c r="E32" s="113"/>
      <x:c r="F32" s="113"/>
      <x:c r="G32" s="113"/>
      <x:c r="H32" s="114"/>
    </x:row>
    <x:row r="33" ht="26" customHeight="1">
      <x:c r="A33" s="112" t="str">
        <x:v>3. The five sensitivity scenarios' complete six-dimensional weight vectors are not contained in this workbook.</x:v>
      </x:c>
      <x:c r="B33" s="113"/>
      <x:c r="C33" s="113"/>
      <x:c r="D33" s="113"/>
      <x:c r="E33" s="113"/>
      <x:c r="F33" s="113"/>
      <x:c r="G33" s="113"/>
      <x:c r="H33" s="114"/>
    </x:row>
    <x:row r="34" ht="26" customHeight="1">
      <x:c r="A34" s="115" t="str">
        <x:v>4. Listing specifications are observational fields and do not replace manufacturer or Natural Resources Canada citations.</x:v>
      </x:c>
      <x:c r="B34" s="116"/>
      <x:c r="C34" s="116"/>
      <x:c r="D34" s="116"/>
      <x:c r="E34" s="116"/>
      <x:c r="F34" s="116"/>
      <x:c r="G34" s="116"/>
      <x:c r="H34" s="117"/>
    </x:row>
  </x:sheetData>
  <x:mergeCells>
    <x:mergeCell ref="A1:H1"/>
    <x:mergeCell ref="A2:H2"/>
    <x:mergeCell ref="A4:H4"/>
    <x:mergeCell ref="A13:H13"/>
    <x:mergeCell ref="D14:H19"/>
    <x:mergeCell ref="A21:C21"/>
    <x:mergeCell ref="D21:H21"/>
    <x:mergeCell ref="A30:H30"/>
    <x:mergeCell ref="A31:H31"/>
    <x:mergeCell ref="A32:H32"/>
    <x:mergeCell ref="A33:H33"/>
    <x:mergeCell ref="A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</x:cols>
  <x:sheetData>
    <x:row r="1" ht="30" customHeight="1">
      <x:c r="A1" s="123" t="str">
        <x:v>record_id</x:v>
      </x:c>
      <x:c r="B1" s="123" t="str">
        <x:v>collection_date</x:v>
      </x:c>
      <x:c r="C1" s="123" t="str">
        <x:v>city</x:v>
      </x:c>
      <x:c r="D1" s="123" t="str">
        <x:v>make</x:v>
      </x:c>
      <x:c r="E1" s="123" t="str">
        <x:v>model</x:v>
      </x:c>
      <x:c r="F1" s="123" t="str">
        <x:v>trim</x:v>
      </x:c>
      <x:c r="G1" s="123" t="str">
        <x:v>model_year</x:v>
      </x:c>
      <x:c r="H1" s="123" t="str">
        <x:v>price_cad</x:v>
      </x:c>
      <x:c r="I1" s="123" t="str">
        <x:v>mileage_km</x:v>
      </x:c>
      <x:c r="J1" s="123" t="str">
        <x:v>body_style</x:v>
      </x:c>
      <x:c r="K1" s="123" t="str">
        <x:v>drivetrain</x:v>
      </x:c>
      <x:c r="L1" s="123" t="str">
        <x:v>engine</x:v>
      </x:c>
      <x:c r="M1" s="123" t="str">
        <x:v>fuel_type</x:v>
      </x:c>
      <x:c r="N1" s="123" t="str">
        <x:v>transmission</x:v>
      </x:c>
      <x:c r="O1" s="123" t="str">
        <x:v>deal_rating</x:v>
      </x:c>
      <x:c r="P1" s="123" t="str">
        <x:v>generation</x:v>
      </x:c>
      <x:c r="Q1" s="123" t="str">
        <x:v>notes</x:v>
      </x:c>
    </x:row>
    <x:row r="2">
      <x:c r="A2" s="128" t="str">
        <x:v>CIVH_001</x:v>
      </x:c>
      <x:c r="B2" s="131" t="n">
        <x:v>46233</x:v>
      </x:c>
      <x:c r="C2" s="128" t="str">
        <x:v>Thornhill</x:v>
      </x:c>
      <x:c r="D2" s="128" t="str">
        <x:v>Honda</x:v>
      </x:c>
      <x:c r="E2" s="128" t="str">
        <x:v>Civic Hybrid</x:v>
      </x:c>
      <x:c r="F2" s="128" t="str">
        <x:v>Sport</x:v>
      </x:c>
      <x:c r="G2" s="134" t="n">
        <x:v>2026</x:v>
      </x:c>
      <x:c r="H2" s="137" t="n">
        <x:v>36160</x:v>
      </x:c>
      <x:c r="I2" s="140" t="n">
        <x:v>9328</x:v>
      </x:c>
      <x:c r="J2" s="128" t="str">
        <x:v>Sedan</x:v>
      </x:c>
      <x:c r="K2" s="128" t="str">
        <x:v>FWD</x:v>
      </x:c>
      <x:c r="L2" s="128" t="str">
        <x:v>2.0L I4 Hybrid</x:v>
      </x:c>
      <x:c r="M2" s="128" t="str">
        <x:v>Hybrid</x:v>
      </x:c>
      <x:c r="N2" s="128" t="str">
        <x:v>Automatic</x:v>
      </x:c>
      <x:c r="O2" s="128" t="str">
        <x:v>Fair Deal</x:v>
      </x:c>
      <x:c r="P2" s="128" t="str">
        <x:v>11th Generation</x:v>
      </x:c>
      <x:c r="Q2" s="143" t="str">
        <x:v>$332 below market; exterior gray</x:v>
      </x:c>
    </x:row>
    <x:row r="3">
      <x:c r="A3" s="129" t="str">
        <x:v>CIVH_002</x:v>
      </x:c>
      <x:c r="B3" s="132" t="n">
        <x:v>46233</x:v>
      </x:c>
      <x:c r="C3" s="129" t="str">
        <x:v>Whitby</x:v>
      </x:c>
      <x:c r="D3" s="129" t="str">
        <x:v>Honda</x:v>
      </x:c>
      <x:c r="E3" s="129" t="str">
        <x:v>Civic Hybrid</x:v>
      </x:c>
      <x:c r="F3" s="129" t="str">
        <x:v>Sport</x:v>
      </x:c>
      <x:c r="G3" s="135" t="n">
        <x:v>2025</x:v>
      </x:c>
      <x:c r="H3" s="138" t="n">
        <x:v>32900</x:v>
      </x:c>
      <x:c r="I3" s="141" t="n">
        <x:v>39312</x:v>
      </x:c>
      <x:c r="J3" s="129" t="str">
        <x:v>Sedan</x:v>
      </x:c>
      <x:c r="K3" s="129" t="str">
        <x:v>FWD</x:v>
      </x:c>
      <x:c r="L3" s="129" t="str">
        <x:v>2.0L I4 Hybrid</x:v>
      </x:c>
      <x:c r="M3" s="129" t="str">
        <x:v>Hybrid</x:v>
      </x:c>
      <x:c r="N3" s="129" t="str">
        <x:v>CVT</x:v>
      </x:c>
      <x:c r="O3" s="129" t="str">
        <x:v>Fair Deal</x:v>
      </x:c>
      <x:c r="P3" s="129" t="str">
        <x:v>11th Generation</x:v>
      </x:c>
      <x:c r="Q3" s="144" t="str">
        <x:v>$568 above market; exterior gray</x:v>
      </x:c>
    </x:row>
    <x:row r="4">
      <x:c r="A4" s="129" t="str">
        <x:v>CIVH_003</x:v>
      </x:c>
      <x:c r="B4" s="132" t="n">
        <x:v>46233</x:v>
      </x:c>
      <x:c r="C4" s="129" t="str">
        <x:v>Brantford</x:v>
      </x:c>
      <x:c r="D4" s="129" t="str">
        <x:v>Honda</x:v>
      </x:c>
      <x:c r="E4" s="129" t="str">
        <x:v>Civic Hybrid</x:v>
      </x:c>
      <x:c r="F4" s="129" t="str">
        <x:v>Sport</x:v>
      </x:c>
      <x:c r="G4" s="135" t="n">
        <x:v>2026</x:v>
      </x:c>
      <x:c r="H4" s="138" t="n">
        <x:v>36580</x:v>
      </x:c>
      <x:c r="I4" s="141" t="n">
        <x:v>1316</x:v>
      </x:c>
      <x:c r="J4" s="129" t="str">
        <x:v>Sedan</x:v>
      </x:c>
      <x:c r="K4" s="129" t="str">
        <x:v>FWD</x:v>
      </x:c>
      <x:c r="L4" s="129" t="str">
        <x:v>2.0L I4 Hybrid</x:v>
      </x:c>
      <x:c r="M4" s="129" t="str">
        <x:v>Hybrid</x:v>
      </x:c>
      <x:c r="N4" s="129" t="str">
        <x:v>CVT</x:v>
      </x:c>
      <x:c r="O4" s="129" t="str">
        <x:v>Good Deal</x:v>
      </x:c>
      <x:c r="P4" s="129" t="str">
        <x:v>11th Generation</x:v>
      </x:c>
      <x:c r="Q4" s="144" t="str">
        <x:v>$723 below market; mileage too low; service loaner; exterior black</x:v>
      </x:c>
    </x:row>
    <x:row r="5">
      <x:c r="A5" s="129" t="str">
        <x:v>CIVH_004</x:v>
      </x:c>
      <x:c r="B5" s="132" t="n">
        <x:v>46233</x:v>
      </x:c>
      <x:c r="C5" s="129" t="str">
        <x:v>Richmond Hill</x:v>
      </x:c>
      <x:c r="D5" s="129" t="str">
        <x:v>Honda</x:v>
      </x:c>
      <x:c r="E5" s="129" t="str">
        <x:v>Civic Hybrid</x:v>
      </x:c>
      <x:c r="F5" s="129" t="str">
        <x:v>Sport</x:v>
      </x:c>
      <x:c r="G5" s="135" t="n">
        <x:v>2025</x:v>
      </x:c>
      <x:c r="H5" s="138" t="n">
        <x:v>31500</x:v>
      </x:c>
      <x:c r="I5" s="141" t="n">
        <x:v>17782</x:v>
      </x:c>
      <x:c r="J5" s="129" t="str">
        <x:v>Sedan</x:v>
      </x:c>
      <x:c r="K5" s="129" t="str">
        <x:v>FWD</x:v>
      </x:c>
      <x:c r="L5" s="129" t="str">
        <x:v>2.0L I4 Hybrid</x:v>
      </x:c>
      <x:c r="M5" s="129" t="str">
        <x:v>Hybrid</x:v>
      </x:c>
      <x:c r="N5" s="129" t="str">
        <x:v>CVT</x:v>
      </x:c>
      <x:c r="O5" s="129" t="str">
        <x:v>Great Deal</x:v>
      </x:c>
      <x:c r="P5" s="129" t="str">
        <x:v>11th Generation</x:v>
      </x:c>
      <x:c r="Q5" s="144" t="str">
        <x:v>$1,861 below market; Certified Pre-Owned; exterior silver</x:v>
      </x:c>
    </x:row>
    <x:row r="6">
      <x:c r="A6" s="129" t="str">
        <x:v>CIVH_005</x:v>
      </x:c>
      <x:c r="B6" s="132" t="n">
        <x:v>46233</x:v>
      </x:c>
      <x:c r="C6" s="129" t="str">
        <x:v>Richmond Hill</x:v>
      </x:c>
      <x:c r="D6" s="129" t="str">
        <x:v>Honda</x:v>
      </x:c>
      <x:c r="E6" s="129" t="str">
        <x:v>Civic Hybrid</x:v>
      </x:c>
      <x:c r="F6" s="129" t="str">
        <x:v>Sport</x:v>
      </x:c>
      <x:c r="G6" s="135" t="n">
        <x:v>2025</x:v>
      </x:c>
      <x:c r="H6" s="138" t="n">
        <x:v>31909</x:v>
      </x:c>
      <x:c r="I6" s="141" t="n">
        <x:v>6466</x:v>
      </x:c>
      <x:c r="J6" s="129" t="str">
        <x:v>Sedan</x:v>
      </x:c>
      <x:c r="K6" s="129" t="str">
        <x:v>FWD</x:v>
      </x:c>
      <x:c r="L6" s="129" t="str">
        <x:v>2.0L I4 Hybrid</x:v>
      </x:c>
      <x:c r="M6" s="129" t="str">
        <x:v>Hybrid</x:v>
      </x:c>
      <x:c r="N6" s="129" t="str">
        <x:v>CVT</x:v>
      </x:c>
      <x:c r="O6" s="129" t="str">
        <x:v>Great Deal</x:v>
      </x:c>
      <x:c r="P6" s="129" t="str">
        <x:v>11th Generation</x:v>
      </x:c>
      <x:c r="Q6" s="144" t="str">
        <x:v>$2,002 below market; Certified Pre-Owned; exterior white</x:v>
      </x:c>
    </x:row>
    <x:row r="7">
      <x:c r="A7" s="129" t="str">
        <x:v>CIVH_006</x:v>
      </x:c>
      <x:c r="B7" s="132" t="n">
        <x:v>46233</x:v>
      </x:c>
      <x:c r="C7" s="129" t="str">
        <x:v>Not recorded</x:v>
      </x:c>
      <x:c r="D7" s="129" t="str">
        <x:v>Honda</x:v>
      </x:c>
      <x:c r="E7" s="129" t="str">
        <x:v>Civic Hybrid</x:v>
      </x:c>
      <x:c r="F7" s="129" t="str">
        <x:v>Sport Touring</x:v>
      </x:c>
      <x:c r="G7" s="135" t="n">
        <x:v>2026</x:v>
      </x:c>
      <x:c r="H7" s="138" t="n">
        <x:v>35024</x:v>
      </x:c>
      <x:c r="I7" s="141" t="n">
        <x:v>12232</x:v>
      </x:c>
      <x:c r="J7" s="129" t="str">
        <x:v>Sedan</x:v>
      </x:c>
      <x:c r="K7" s="129" t="str">
        <x:v>FWD</x:v>
      </x:c>
      <x:c r="L7" s="129" t="str">
        <x:v>2.0L I4 Hybrid</x:v>
      </x:c>
      <x:c r="M7" s="129" t="str">
        <x:v>Hybrid</x:v>
      </x:c>
      <x:c r="N7" s="129" t="str">
        <x:v>Not listed</x:v>
      </x:c>
      <x:c r="O7" s="129" t="str">
        <x:v>Great Deal</x:v>
      </x:c>
      <x:c r="P7" s="129" t="str">
        <x:v>11th Generation</x:v>
      </x:c>
      <x:c r="Q7" s="144" t="str">
        <x:v>$263 below market; price includes $529 delivery to Mississauga</x:v>
      </x:c>
    </x:row>
    <x:row r="8">
      <x:c r="A8" s="129" t="str">
        <x:v>CIVH_007</x:v>
      </x:c>
      <x:c r="B8" s="132" t="n">
        <x:v>46233</x:v>
      </x:c>
      <x:c r="C8" s="129" t="str">
        <x:v>Scarborough</x:v>
      </x:c>
      <x:c r="D8" s="129" t="str">
        <x:v>Honda</x:v>
      </x:c>
      <x:c r="E8" s="129" t="str">
        <x:v>Civic Hybrid</x:v>
      </x:c>
      <x:c r="F8" s="129" t="str">
        <x:v>Sport Touring</x:v>
      </x:c>
      <x:c r="G8" s="135" t="n">
        <x:v>2026</x:v>
      </x:c>
      <x:c r="H8" s="138" t="n">
        <x:v>35990</x:v>
      </x:c>
      <x:c r="I8" s="141" t="n">
        <x:v>2196</x:v>
      </x:c>
      <x:c r="J8" s="129" t="str">
        <x:v>Hatchback</x:v>
      </x:c>
      <x:c r="K8" s="129" t="str">
        <x:v>FWD</x:v>
      </x:c>
      <x:c r="L8" s="129" t="str">
        <x:v>2.0L I4 Hybrid</x:v>
      </x:c>
      <x:c r="M8" s="129" t="str">
        <x:v>Hybrid</x:v>
      </x:c>
      <x:c r="N8" s="129" t="str">
        <x:v>Automatic</x:v>
      </x:c>
      <x:c r="O8" s="129" t="str">
        <x:v>Great Deal</x:v>
      </x:c>
      <x:c r="P8" s="129" t="str">
        <x:v>11th Generation</x:v>
      </x:c>
      <x:c r="Q8" s="144" t="str">
        <x:v>$3,063 below market; exterior blue; cargo volume 693 L</x:v>
      </x:c>
    </x:row>
    <x:row r="9">
      <x:c r="A9" s="129" t="str">
        <x:v>CIVH_008</x:v>
      </x:c>
      <x:c r="B9" s="132" t="n">
        <x:v>46233</x:v>
      </x:c>
      <x:c r="C9" s="129" t="str">
        <x:v>Scarborough</x:v>
      </x:c>
      <x:c r="D9" s="129" t="str">
        <x:v>Honda</x:v>
      </x:c>
      <x:c r="E9" s="129" t="str">
        <x:v>Civic Hybrid</x:v>
      </x:c>
      <x:c r="F9" s="129" t="str">
        <x:v>Sport</x:v>
      </x:c>
      <x:c r="G9" s="135" t="n">
        <x:v>2025</x:v>
      </x:c>
      <x:c r="H9" s="138" t="n">
        <x:v>28750</x:v>
      </x:c>
      <x:c r="I9" s="141" t="n">
        <x:v>51608</x:v>
      </x:c>
      <x:c r="J9" s="129" t="str">
        <x:v>Sedan</x:v>
      </x:c>
      <x:c r="K9" s="129" t="str">
        <x:v>FWD</x:v>
      </x:c>
      <x:c r="L9" s="129" t="str">
        <x:v>2.0L I4 Hybrid</x:v>
      </x:c>
      <x:c r="M9" s="129" t="str">
        <x:v>Hybrid</x:v>
      </x:c>
      <x:c r="N9" s="129" t="str">
        <x:v>CVT</x:v>
      </x:c>
      <x:c r="O9" s="129" t="str">
        <x:v>Great Deal</x:v>
      </x:c>
      <x:c r="P9" s="129" t="str">
        <x:v>11th Generation</x:v>
      </x:c>
      <x:c r="Q9" s="144" t="str">
        <x:v>$2,967 below market; exterior red</x:v>
      </x:c>
    </x:row>
    <x:row r="10">
      <x:c r="A10" s="129" t="str">
        <x:v>CIVH_009</x:v>
      </x:c>
      <x:c r="B10" s="132" t="n">
        <x:v>46233</x:v>
      </x:c>
      <x:c r="C10" s="129" t="str">
        <x:v>Kitchener</x:v>
      </x:c>
      <x:c r="D10" s="129" t="str">
        <x:v>Honda</x:v>
      </x:c>
      <x:c r="E10" s="129" t="str">
        <x:v>Civic Hybrid</x:v>
      </x:c>
      <x:c r="F10" s="129" t="str">
        <x:v>Sport Touring</x:v>
      </x:c>
      <x:c r="G10" s="135" t="n">
        <x:v>2025</x:v>
      </x:c>
      <x:c r="H10" s="138" t="n">
        <x:v>30880</x:v>
      </x:c>
      <x:c r="I10" s="141" t="n">
        <x:v>45967</x:v>
      </x:c>
      <x:c r="J10" s="129" t="str">
        <x:v>Sedan</x:v>
      </x:c>
      <x:c r="K10" s="129" t="str">
        <x:v>FWD</x:v>
      </x:c>
      <x:c r="L10" s="129" t="str">
        <x:v>2.0L I4 Hybrid</x:v>
      </x:c>
      <x:c r="M10" s="129" t="str">
        <x:v>Hybrid</x:v>
      </x:c>
      <x:c r="N10" s="129" t="str">
        <x:v>Automatic</x:v>
      </x:c>
      <x:c r="O10" s="129" t="str">
        <x:v>Great Deal</x:v>
      </x:c>
      <x:c r="P10" s="129" t="str">
        <x:v>11th Generation</x:v>
      </x:c>
      <x:c r="Q10" s="144" t="str">
        <x:v>$3,372 below market; exterior silver</x:v>
      </x:c>
    </x:row>
    <x:row r="11">
      <x:c r="A11" s="129" t="str">
        <x:v>CIVH_010</x:v>
      </x:c>
      <x:c r="B11" s="132" t="n">
        <x:v>46233</x:v>
      </x:c>
      <x:c r="C11" s="129" t="str">
        <x:v>Mississauga</x:v>
      </x:c>
      <x:c r="D11" s="129" t="str">
        <x:v>Honda</x:v>
      </x:c>
      <x:c r="E11" s="129" t="str">
        <x:v>Civic Hybrid</x:v>
      </x:c>
      <x:c r="F11" s="129" t="str">
        <x:v>Sport</x:v>
      </x:c>
      <x:c r="G11" s="135" t="n">
        <x:v>2026</x:v>
      </x:c>
      <x:c r="H11" s="138" t="n">
        <x:v>35995</x:v>
      </x:c>
      <x:c r="I11" s="141" t="n">
        <x:v>3760</x:v>
      </x:c>
      <x:c r="J11" s="129" t="str">
        <x:v>Sedan</x:v>
      </x:c>
      <x:c r="K11" s="129" t="str">
        <x:v>FWD</x:v>
      </x:c>
      <x:c r="L11" s="129" t="str">
        <x:v>2.0L I4 Hybrid</x:v>
      </x:c>
      <x:c r="M11" s="129" t="str">
        <x:v>Hybrid</x:v>
      </x:c>
      <x:c r="N11" s="129" t="str">
        <x:v>Automatic</x:v>
      </x:c>
      <x:c r="O11" s="129" t="str">
        <x:v>Good Deal</x:v>
      </x:c>
      <x:c r="P11" s="129" t="str">
        <x:v>11th Generation</x:v>
      </x:c>
      <x:c r="Q11" s="144" t="str">
        <x:v>$809 below market; exterior color not listed</x:v>
      </x:c>
    </x:row>
    <x:row r="12">
      <x:c r="A12" s="129" t="str">
        <x:v>CIVH_011</x:v>
      </x:c>
      <x:c r="B12" s="132" t="n">
        <x:v>46233</x:v>
      </x:c>
      <x:c r="C12" s="129" t="str">
        <x:v>Whitby</x:v>
      </x:c>
      <x:c r="D12" s="129" t="str">
        <x:v>Honda</x:v>
      </x:c>
      <x:c r="E12" s="129" t="str">
        <x:v>Civic Hybrid</x:v>
      </x:c>
      <x:c r="F12" s="129" t="str">
        <x:v>Sport</x:v>
      </x:c>
      <x:c r="G12" s="135" t="n">
        <x:v>2026</x:v>
      </x:c>
      <x:c r="H12" s="138" t="n">
        <x:v>36200</x:v>
      </x:c>
      <x:c r="I12" s="141" t="n">
        <x:v>3513</x:v>
      </x:c>
      <x:c r="J12" s="129" t="str">
        <x:v>Sedan</x:v>
      </x:c>
      <x:c r="K12" s="129" t="str">
        <x:v>FWD</x:v>
      </x:c>
      <x:c r="L12" s="129" t="str">
        <x:v>2.0L I4 Hybrid</x:v>
      </x:c>
      <x:c r="M12" s="129" t="str">
        <x:v>Hybrid</x:v>
      </x:c>
      <x:c r="N12" s="129" t="str">
        <x:v>CVT</x:v>
      </x:c>
      <x:c r="O12" s="129" t="str">
        <x:v>Good Deal</x:v>
      </x:c>
      <x:c r="P12" s="129" t="str">
        <x:v>11th Generation</x:v>
      </x:c>
      <x:c r="Q12" s="144" t="str">
        <x:v>$617 below market; exterior silver</x:v>
      </x:c>
    </x:row>
    <x:row r="13">
      <x:c r="A13" s="129" t="str">
        <x:v>CIVH_012</x:v>
      </x:c>
      <x:c r="B13" s="132" t="n">
        <x:v>46233</x:v>
      </x:c>
      <x:c r="C13" s="129" t="str">
        <x:v>Mississauga</x:v>
      </x:c>
      <x:c r="D13" s="129" t="str">
        <x:v>Honda</x:v>
      </x:c>
      <x:c r="E13" s="129" t="str">
        <x:v>Civic Hybrid</x:v>
      </x:c>
      <x:c r="F13" s="129" t="str">
        <x:v>Sport Touring</x:v>
      </x:c>
      <x:c r="G13" s="135" t="n">
        <x:v>2025</x:v>
      </x:c>
      <x:c r="H13" s="138" t="n">
        <x:v>34500</x:v>
      </x:c>
      <x:c r="I13" s="141" t="n">
        <x:v>15400</x:v>
      </x:c>
      <x:c r="J13" s="129" t="str">
        <x:v>Sedan</x:v>
      </x:c>
      <x:c r="K13" s="129" t="str">
        <x:v>FWD</x:v>
      </x:c>
      <x:c r="L13" s="129" t="str">
        <x:v>2.0L I4 Hybrid</x:v>
      </x:c>
      <x:c r="M13" s="129" t="str">
        <x:v>Hybrid</x:v>
      </x:c>
      <x:c r="N13" s="129" t="str">
        <x:v>Automatic</x:v>
      </x:c>
      <x:c r="O13" s="129" t="str">
        <x:v>Good Deal</x:v>
      </x:c>
      <x:c r="P13" s="129" t="str">
        <x:v>11th Generation</x:v>
      </x:c>
      <x:c r="Q13" s="144" t="str">
        <x:v>$703 below market; exterior black</x:v>
      </x:c>
    </x:row>
    <x:row r="14">
      <x:c r="A14" s="129" t="str">
        <x:v>CIVH_013</x:v>
      </x:c>
      <x:c r="B14" s="132" t="n">
        <x:v>46233</x:v>
      </x:c>
      <x:c r="C14" s="129" t="str">
        <x:v>Not recorded</x:v>
      </x:c>
      <x:c r="D14" s="129" t="str">
        <x:v>Honda</x:v>
      </x:c>
      <x:c r="E14" s="129" t="str">
        <x:v>Civic Hybrid</x:v>
      </x:c>
      <x:c r="F14" s="129" t="str">
        <x:v>Sport</x:v>
      </x:c>
      <x:c r="G14" s="135" t="n">
        <x:v>2025</x:v>
      </x:c>
      <x:c r="H14" s="138" t="n">
        <x:v>33223</x:v>
      </x:c>
      <x:c r="I14" s="141" t="n">
        <x:v>26199</x:v>
      </x:c>
      <x:c r="J14" s="129" t="str">
        <x:v>Hatchback</x:v>
      </x:c>
      <x:c r="K14" s="129" t="str">
        <x:v>FWD</x:v>
      </x:c>
      <x:c r="L14" s="129" t="str">
        <x:v>2.0L I4 Hybrid</x:v>
      </x:c>
      <x:c r="M14" s="129" t="str">
        <x:v>Hybrid</x:v>
      </x:c>
      <x:c r="N14" s="129" t="str">
        <x:v>CVT</x:v>
      </x:c>
      <x:c r="O14" s="129" t="str">
        <x:v>Good Deal</x:v>
      </x:c>
      <x:c r="P14" s="129" t="str">
        <x:v>11th Generation</x:v>
      </x:c>
      <x:c r="Q14" s="144" t="str">
        <x:v>$259 below market; includes $500 delivery to Mississauga; exterior red</x:v>
      </x:c>
    </x:row>
    <x:row r="15">
      <x:c r="A15" s="129" t="str">
        <x:v>CIVH_014</x:v>
      </x:c>
      <x:c r="B15" s="132" t="n">
        <x:v>46233</x:v>
      </x:c>
      <x:c r="C15" s="129" t="str">
        <x:v>Not recorded</x:v>
      </x:c>
      <x:c r="D15" s="129" t="str">
        <x:v>Honda</x:v>
      </x:c>
      <x:c r="E15" s="129" t="str">
        <x:v>Civic Hybrid</x:v>
      </x:c>
      <x:c r="F15" s="129" t="str">
        <x:v>Sport</x:v>
      </x:c>
      <x:c r="G15" s="135" t="n">
        <x:v>2026</x:v>
      </x:c>
      <x:c r="H15" s="138" t="n">
        <x:v>36097</x:v>
      </x:c>
      <x:c r="I15" s="141" t="n">
        <x:v>1677</x:v>
      </x:c>
      <x:c r="J15" s="129" t="str">
        <x:v>Sedan</x:v>
      </x:c>
      <x:c r="K15" s="129" t="str">
        <x:v>FWD</x:v>
      </x:c>
      <x:c r="L15" s="129" t="str">
        <x:v>2.0L I4 Hybrid</x:v>
      </x:c>
      <x:c r="M15" s="129" t="str">
        <x:v>Hybrid</x:v>
      </x:c>
      <x:c r="N15" s="129" t="str">
        <x:v>Automatic</x:v>
      </x:c>
      <x:c r="O15" s="129" t="str">
        <x:v>Good Deal</x:v>
      </x:c>
      <x:c r="P15" s="129" t="str">
        <x:v>11th Generation</x:v>
      </x:c>
      <x:c r="Q15" s="144" t="str">
        <x:v>$923 below market; includes $1,108 delivery to Mississauga; exterior red</x:v>
      </x:c>
    </x:row>
    <x:row r="16">
      <x:c r="A16" s="129" t="str">
        <x:v>CIVH_015</x:v>
      </x:c>
      <x:c r="B16" s="132" t="n">
        <x:v>46233</x:v>
      </x:c>
      <x:c r="C16" s="129" t="str">
        <x:v>Concord</x:v>
      </x:c>
      <x:c r="D16" s="129" t="str">
        <x:v>Honda</x:v>
      </x:c>
      <x:c r="E16" s="129" t="str">
        <x:v>Civic Hybrid</x:v>
      </x:c>
      <x:c r="F16" s="129" t="str">
        <x:v>Sport</x:v>
      </x:c>
      <x:c r="G16" s="135" t="n">
        <x:v>2025</x:v>
      </x:c>
      <x:c r="H16" s="138" t="n">
        <x:v>25888</x:v>
      </x:c>
      <x:c r="I16" s="141" t="n">
        <x:v>153500</x:v>
      </x:c>
      <x:c r="J16" s="129" t="str">
        <x:v>Sedan</x:v>
      </x:c>
      <x:c r="K16" s="129" t="str">
        <x:v>FWD</x:v>
      </x:c>
      <x:c r="L16" s="129" t="str">
        <x:v>2.0L I4 Hybrid</x:v>
      </x:c>
      <x:c r="M16" s="129" t="str">
        <x:v>Hybrid</x:v>
      </x:c>
      <x:c r="N16" s="129" t="str">
        <x:v>CVT</x:v>
      </x:c>
      <x:c r="O16" s="129" t="str">
        <x:v>Good Deal</x:v>
      </x:c>
      <x:c r="P16" s="129" t="str">
        <x:v>11th Generation</x:v>
      </x:c>
      <x:c r="Q16" s="144" t="str">
        <x:v>$875 below market; unusually high mileage; exterior silver</x:v>
      </x:c>
    </x:row>
    <x:row r="17">
      <x:c r="A17" s="129" t="str">
        <x:v>CIVH_016</x:v>
      </x:c>
      <x:c r="B17" s="132" t="n">
        <x:v>46233</x:v>
      </x:c>
      <x:c r="C17" s="129" t="str">
        <x:v>Lindsay</x:v>
      </x:c>
      <x:c r="D17" s="129" t="str">
        <x:v>Honda</x:v>
      </x:c>
      <x:c r="E17" s="129" t="str">
        <x:v>Civic Hybrid</x:v>
      </x:c>
      <x:c r="F17" s="129" t="str">
        <x:v>Sport</x:v>
      </x:c>
      <x:c r="G17" s="135" t="n">
        <x:v>2025</x:v>
      </x:c>
      <x:c r="H17" s="138" t="n">
        <x:v>32490</x:v>
      </x:c>
      <x:c r="I17" s="141" t="n">
        <x:v>22052</x:v>
      </x:c>
      <x:c r="J17" s="129" t="str">
        <x:v>Sedan</x:v>
      </x:c>
      <x:c r="K17" s="129" t="str">
        <x:v>FWD</x:v>
      </x:c>
      <x:c r="L17" s="129" t="str">
        <x:v>2.0L I4 Hybrid</x:v>
      </x:c>
      <x:c r="M17" s="129" t="str">
        <x:v>Hybrid</x:v>
      </x:c>
      <x:c r="N17" s="129" t="str">
        <x:v>Automatic</x:v>
      </x:c>
      <x:c r="O17" s="129" t="str">
        <x:v>Good Deal</x:v>
      </x:c>
      <x:c r="P17" s="129" t="str">
        <x:v>11th Generation</x:v>
      </x:c>
      <x:c r="Q17" s="144" t="str">
        <x:v>$958 below market; exterior white</x:v>
      </x:c>
    </x:row>
    <x:row r="18">
      <x:c r="A18" s="129" t="str">
        <x:v>CIVH_017</x:v>
      </x:c>
      <x:c r="B18" s="132" t="n">
        <x:v>46233</x:v>
      </x:c>
      <x:c r="C18" s="129" t="str">
        <x:v>Whitby</x:v>
      </x:c>
      <x:c r="D18" s="129" t="str">
        <x:v>Honda</x:v>
      </x:c>
      <x:c r="E18" s="129" t="str">
        <x:v>Civic Hybrid</x:v>
      </x:c>
      <x:c r="F18" s="129" t="str">
        <x:v>Sport Touring</x:v>
      </x:c>
      <x:c r="G18" s="135" t="n">
        <x:v>2026</x:v>
      </x:c>
      <x:c r="H18" s="138" t="n">
        <x:v>37900</x:v>
      </x:c>
      <x:c r="I18" s="141" t="n">
        <x:v>1735</x:v>
      </x:c>
      <x:c r="J18" s="129" t="str">
        <x:v>Sedan</x:v>
      </x:c>
      <x:c r="K18" s="129" t="str">
        <x:v>FWD</x:v>
      </x:c>
      <x:c r="L18" s="129" t="str">
        <x:v>2.0L I4 Hybrid</x:v>
      </x:c>
      <x:c r="M18" s="129" t="str">
        <x:v>Hybrid</x:v>
      </x:c>
      <x:c r="N18" s="129" t="str">
        <x:v>CVT</x:v>
      </x:c>
      <x:c r="O18" s="129" t="str">
        <x:v>Good Deal</x:v>
      </x:c>
      <x:c r="P18" s="129" t="str">
        <x:v>11th Generation</x:v>
      </x:c>
      <x:c r="Q18" s="144" t="str">
        <x:v>$1,453 below market; exterior black</x:v>
      </x:c>
    </x:row>
    <x:row r="19">
      <x:c r="A19" s="129" t="str">
        <x:v>CIVH_018</x:v>
      </x:c>
      <x:c r="B19" s="132" t="n">
        <x:v>46233</x:v>
      </x:c>
      <x:c r="C19" s="129" t="str">
        <x:v>Simcoe</x:v>
      </x:c>
      <x:c r="D19" s="129" t="str">
        <x:v>Honda</x:v>
      </x:c>
      <x:c r="E19" s="129" t="str">
        <x:v>Civic Hybrid</x:v>
      </x:c>
      <x:c r="F19" s="129" t="str">
        <x:v>Sport Touring</x:v>
      </x:c>
      <x:c r="G19" s="135" t="n">
        <x:v>2025</x:v>
      </x:c>
      <x:c r="H19" s="138" t="n">
        <x:v>33498</x:v>
      </x:c>
      <x:c r="I19" s="141" t="n">
        <x:v>25229</x:v>
      </x:c>
      <x:c r="J19" s="129" t="str">
        <x:v>Sedan</x:v>
      </x:c>
      <x:c r="K19" s="129" t="str">
        <x:v>FWD</x:v>
      </x:c>
      <x:c r="L19" s="129" t="str">
        <x:v>2.0L I4 Hybrid</x:v>
      </x:c>
      <x:c r="M19" s="129" t="str">
        <x:v>Hybrid</x:v>
      </x:c>
      <x:c r="N19" s="129" t="str">
        <x:v>Automatic</x:v>
      </x:c>
      <x:c r="O19" s="129" t="str">
        <x:v>Good Deal</x:v>
      </x:c>
      <x:c r="P19" s="129" t="str">
        <x:v>11th Generation</x:v>
      </x:c>
      <x:c r="Q19" s="144" t="str">
        <x:v>$1,296 below market; exterior gray</x:v>
      </x:c>
    </x:row>
    <x:row r="20">
      <x:c r="A20" s="129" t="str">
        <x:v>CIVH_019</x:v>
      </x:c>
      <x:c r="B20" s="132" t="n">
        <x:v>46233</x:v>
      </x:c>
      <x:c r="C20" s="129" t="str">
        <x:v>St. Catharines</x:v>
      </x:c>
      <x:c r="D20" s="129" t="str">
        <x:v>Honda</x:v>
      </x:c>
      <x:c r="E20" s="129" t="str">
        <x:v>Civic Hybrid</x:v>
      </x:c>
      <x:c r="F20" s="129" t="str">
        <x:v>Sport</x:v>
      </x:c>
      <x:c r="G20" s="135" t="n">
        <x:v>2025</x:v>
      </x:c>
      <x:c r="H20" s="138" t="n">
        <x:v>31998</x:v>
      </x:c>
      <x:c r="I20" s="141" t="n">
        <x:v>12431</x:v>
      </x:c>
      <x:c r="J20" s="129" t="str">
        <x:v>Sedan</x:v>
      </x:c>
      <x:c r="K20" s="129" t="str">
        <x:v>FWD</x:v>
      </x:c>
      <x:c r="L20" s="129" t="str">
        <x:v>2.0L I4 Hybrid</x:v>
      </x:c>
      <x:c r="M20" s="129" t="str">
        <x:v>Hybrid</x:v>
      </x:c>
      <x:c r="N20" s="129" t="str">
        <x:v>Automatic</x:v>
      </x:c>
      <x:c r="O20" s="129" t="str">
        <x:v>Good Deal</x:v>
      </x:c>
      <x:c r="P20" s="129" t="str">
        <x:v>11th Generation</x:v>
      </x:c>
      <x:c r="Q20" s="144" t="str">
        <x:v>$1,623 below market; exterior Solar Silver Metallic</x:v>
      </x:c>
    </x:row>
    <x:row r="21">
      <x:c r="A21" s="129" t="str">
        <x:v>CIVH_020</x:v>
      </x:c>
      <x:c r="B21" s="132" t="n">
        <x:v>46233</x:v>
      </x:c>
      <x:c r="C21" s="129" t="str">
        <x:v>Mississauga</x:v>
      </x:c>
      <x:c r="D21" s="129" t="str">
        <x:v>Honda</x:v>
      </x:c>
      <x:c r="E21" s="129" t="str">
        <x:v>Civic Hybrid</x:v>
      </x:c>
      <x:c r="F21" s="129" t="str">
        <x:v>Sport</x:v>
      </x:c>
      <x:c r="G21" s="135" t="n">
        <x:v>2026</x:v>
      </x:c>
      <x:c r="H21" s="138" t="n">
        <x:v>35888</x:v>
      </x:c>
      <x:c r="I21" s="141" t="n">
        <x:v>12202</x:v>
      </x:c>
      <x:c r="J21" s="129" t="str">
        <x:v>Sedan</x:v>
      </x:c>
      <x:c r="K21" s="129" t="str">
        <x:v>FWD</x:v>
      </x:c>
      <x:c r="L21" s="129" t="str">
        <x:v>2.0L I4 Hybrid</x:v>
      </x:c>
      <x:c r="M21" s="129" t="str">
        <x:v>Hybrid</x:v>
      </x:c>
      <x:c r="N21" s="129" t="str">
        <x:v>CVT</x:v>
      </x:c>
      <x:c r="O21" s="129" t="str">
        <x:v>Fair Deal</x:v>
      </x:c>
      <x:c r="P21" s="129" t="str">
        <x:v>11th Generation</x:v>
      </x:c>
      <x:c r="Q21" s="144" t="str">
        <x:v>$444 below market; exterior black</x:v>
      </x:c>
    </x:row>
    <x:row r="22">
      <x:c r="A22" s="129" t="str">
        <x:v>ELAN_001</x:v>
      </x:c>
      <x:c r="B22" s="132" t="n">
        <x:v>46233</x:v>
      </x:c>
      <x:c r="C22" s="129" t="str">
        <x:v>Welland</x:v>
      </x:c>
      <x:c r="D22" s="129" t="str">
        <x:v>Hyundai</x:v>
      </x:c>
      <x:c r="E22" s="129" t="str">
        <x:v>Elantra</x:v>
      </x:c>
      <x:c r="F22" s="129" t="str">
        <x:v>Ultimate</x:v>
      </x:c>
      <x:c r="G22" s="135" t="n">
        <x:v>2022</x:v>
      </x:c>
      <x:c r="H22" s="138" t="n">
        <x:v>21999</x:v>
      </x:c>
      <x:c r="I22" s="141" t="n">
        <x:v>42082</x:v>
      </x:c>
      <x:c r="J22" s="129" t="str">
        <x:v>Sedan</x:v>
      </x:c>
      <x:c r="K22" s="129" t="str">
        <x:v>FWD</x:v>
      </x:c>
      <x:c r="L22" s="129" t="str">
        <x:v>2.0L MPI I4</x:v>
      </x:c>
      <x:c r="M22" s="129" t="str">
        <x:v>Gasoline</x:v>
      </x:c>
      <x:c r="N22" s="129" t="str">
        <x:v>IVT</x:v>
      </x:c>
      <x:c r="O22" s="129" t="str">
        <x:v>Good Deal</x:v>
      </x:c>
      <x:c r="P22" s="129" t="str">
        <x:v>7th Generation</x:v>
      </x:c>
      <x:c r="Q22" s="144" t="str"/>
    </x:row>
    <x:row r="23">
      <x:c r="A23" s="129" t="str">
        <x:v>ELAN_002</x:v>
      </x:c>
      <x:c r="B23" s="132" t="n">
        <x:v>46233</x:v>
      </x:c>
      <x:c r="C23" s="129" t="str">
        <x:v>Mississauga</x:v>
      </x:c>
      <x:c r="D23" s="129" t="str">
        <x:v>Hyundai</x:v>
      </x:c>
      <x:c r="E23" s="129" t="str">
        <x:v>Elantra</x:v>
      </x:c>
      <x:c r="F23" s="129" t="str">
        <x:v>Preferred</x:v>
      </x:c>
      <x:c r="G23" s="135" t="n">
        <x:v>2025</x:v>
      </x:c>
      <x:c r="H23" s="138" t="n">
        <x:v>21899</x:v>
      </x:c>
      <x:c r="I23" s="141" t="n">
        <x:v>33653</x:v>
      </x:c>
      <x:c r="J23" s="129" t="str">
        <x:v>Sedan</x:v>
      </x:c>
      <x:c r="K23" s="129" t="str">
        <x:v>FWD</x:v>
      </x:c>
      <x:c r="L23" s="129" t="str">
        <x:v>2.0L MPI I4</x:v>
      </x:c>
      <x:c r="M23" s="129" t="str">
        <x:v>Gasoline</x:v>
      </x:c>
      <x:c r="N23" s="129" t="str">
        <x:v>IVT</x:v>
      </x:c>
      <x:c r="O23" s="129" t="str">
        <x:v>Great Deal</x:v>
      </x:c>
      <x:c r="P23" s="129" t="str">
        <x:v>7th Generation</x:v>
      </x:c>
      <x:c r="Q23" s="144" t="str"/>
    </x:row>
    <x:row r="24">
      <x:c r="A24" s="129" t="str">
        <x:v>ELAN_003</x:v>
      </x:c>
      <x:c r="B24" s="132" t="n">
        <x:v>46233</x:v>
      </x:c>
      <x:c r="C24" s="129" t="str">
        <x:v>Mississauga</x:v>
      </x:c>
      <x:c r="D24" s="129" t="str">
        <x:v>Hyundai</x:v>
      </x:c>
      <x:c r="E24" s="129" t="str">
        <x:v>Elantra</x:v>
      </x:c>
      <x:c r="F24" s="129" t="str">
        <x:v>Preferred</x:v>
      </x:c>
      <x:c r="G24" s="135" t="n">
        <x:v>2025</x:v>
      </x:c>
      <x:c r="H24" s="138" t="n">
        <x:v>21995</x:v>
      </x:c>
      <x:c r="I24" s="141" t="n">
        <x:v>29886</x:v>
      </x:c>
      <x:c r="J24" s="129" t="str">
        <x:v>Sedan</x:v>
      </x:c>
      <x:c r="K24" s="129" t="str">
        <x:v>FWD</x:v>
      </x:c>
      <x:c r="L24" s="129" t="str">
        <x:v>2.0L MPI I4</x:v>
      </x:c>
      <x:c r="M24" s="129" t="str">
        <x:v>Gasoline</x:v>
      </x:c>
      <x:c r="N24" s="129" t="str">
        <x:v>IVT</x:v>
      </x:c>
      <x:c r="O24" s="129" t="str">
        <x:v>Great Deal</x:v>
      </x:c>
      <x:c r="P24" s="129" t="str">
        <x:v>7th Generation</x:v>
      </x:c>
      <x:c r="Q24" s="144" t="str"/>
    </x:row>
    <x:row r="25">
      <x:c r="A25" s="129" t="str">
        <x:v>ELAN_004</x:v>
      </x:c>
      <x:c r="B25" s="132" t="n">
        <x:v>46233</x:v>
      </x:c>
      <x:c r="C25" s="129" t="str">
        <x:v>Mississauga</x:v>
      </x:c>
      <x:c r="D25" s="129" t="str">
        <x:v>Hyundai</x:v>
      </x:c>
      <x:c r="E25" s="129" t="str">
        <x:v>Elantra</x:v>
      </x:c>
      <x:c r="F25" s="129" t="str">
        <x:v>Preferred</x:v>
      </x:c>
      <x:c r="G25" s="135" t="n">
        <x:v>2025</x:v>
      </x:c>
      <x:c r="H25" s="138" t="n">
        <x:v>21899</x:v>
      </x:c>
      <x:c r="I25" s="141" t="n">
        <x:v>32721</x:v>
      </x:c>
      <x:c r="J25" s="129" t="str">
        <x:v>Sedan</x:v>
      </x:c>
      <x:c r="K25" s="129" t="str">
        <x:v>FWD</x:v>
      </x:c>
      <x:c r="L25" s="129" t="str">
        <x:v>2.0L MPI I4</x:v>
      </x:c>
      <x:c r="M25" s="129" t="str">
        <x:v>Gasoline</x:v>
      </x:c>
      <x:c r="N25" s="129" t="str">
        <x:v>IVT</x:v>
      </x:c>
      <x:c r="O25" s="129" t="str">
        <x:v>Great Deal</x:v>
      </x:c>
      <x:c r="P25" s="129" t="str">
        <x:v>7th Generation</x:v>
      </x:c>
      <x:c r="Q25" s="144" t="str"/>
    </x:row>
    <x:row r="26">
      <x:c r="A26" s="129" t="str">
        <x:v>ELAN_005</x:v>
      </x:c>
      <x:c r="B26" s="132" t="n">
        <x:v>46233</x:v>
      </x:c>
      <x:c r="C26" s="129" t="str">
        <x:v>Simcoe</x:v>
      </x:c>
      <x:c r="D26" s="129" t="str">
        <x:v>Hyundai</x:v>
      </x:c>
      <x:c r="E26" s="129" t="str">
        <x:v>Elantra</x:v>
      </x:c>
      <x:c r="F26" s="129" t="str">
        <x:v>Ultimate</x:v>
      </x:c>
      <x:c r="G26" s="135" t="n">
        <x:v>2022</x:v>
      </x:c>
      <x:c r="H26" s="138" t="n">
        <x:v>17998</x:v>
      </x:c>
      <x:c r="I26" s="141" t="n">
        <x:v>119462</x:v>
      </x:c>
      <x:c r="J26" s="129" t="str">
        <x:v>Sedan</x:v>
      </x:c>
      <x:c r="K26" s="129" t="str">
        <x:v>FWD</x:v>
      </x:c>
      <x:c r="L26" s="129" t="str">
        <x:v>2.0L MPI I4</x:v>
      </x:c>
      <x:c r="M26" s="129" t="str">
        <x:v>Gasoline</x:v>
      </x:c>
      <x:c r="N26" s="129" t="str">
        <x:v>IVT</x:v>
      </x:c>
      <x:c r="O26" s="129" t="str">
        <x:v>Great Deal</x:v>
      </x:c>
      <x:c r="P26" s="129" t="str">
        <x:v>7th Generation</x:v>
      </x:c>
      <x:c r="Q26" s="144" t="str">
        <x:v>Certified Pre-Owned</x:v>
      </x:c>
    </x:row>
    <x:row r="27">
      <x:c r="A27" s="129" t="str">
        <x:v>ELAN_006</x:v>
      </x:c>
      <x:c r="B27" s="132" t="n">
        <x:v>46233</x:v>
      </x:c>
      <x:c r="C27" s="129" t="str">
        <x:v>Etobicoke</x:v>
      </x:c>
      <x:c r="D27" s="129" t="str">
        <x:v>Hyundai</x:v>
      </x:c>
      <x:c r="E27" s="129" t="str">
        <x:v>Elantra</x:v>
      </x:c>
      <x:c r="F27" s="129" t="str">
        <x:v>Ultimate</x:v>
      </x:c>
      <x:c r="G27" s="135" t="n">
        <x:v>2022</x:v>
      </x:c>
      <x:c r="H27" s="138" t="n">
        <x:v>16488</x:v>
      </x:c>
      <x:c r="I27" s="141" t="n">
        <x:v>139101</x:v>
      </x:c>
      <x:c r="J27" s="129" t="str">
        <x:v>Sedan</x:v>
      </x:c>
      <x:c r="K27" s="129" t="str">
        <x:v>FWD</x:v>
      </x:c>
      <x:c r="L27" s="129" t="str">
        <x:v>2.0L MPI I4</x:v>
      </x:c>
      <x:c r="M27" s="129" t="str">
        <x:v>Gasoline</x:v>
      </x:c>
      <x:c r="N27" s="129" t="str">
        <x:v>IVT</x:v>
      </x:c>
      <x:c r="O27" s="129" t="str">
        <x:v>Great Deal</x:v>
      </x:c>
      <x:c r="P27" s="129" t="str">
        <x:v>7th Generation</x:v>
      </x:c>
      <x:c r="Q27" s="144" t="str"/>
    </x:row>
    <x:row r="28">
      <x:c r="A28" s="129" t="str">
        <x:v>ELAN_007</x:v>
      </x:c>
      <x:c r="B28" s="132" t="n">
        <x:v>46233</x:v>
      </x:c>
      <x:c r="C28" s="129" t="str">
        <x:v>Thornhill</x:v>
      </x:c>
      <x:c r="D28" s="129" t="str">
        <x:v>Hyundai</x:v>
      </x:c>
      <x:c r="E28" s="129" t="str">
        <x:v>Elantra</x:v>
      </x:c>
      <x:c r="F28" s="129" t="str">
        <x:v>Essential</x:v>
      </x:c>
      <x:c r="G28" s="135" t="n">
        <x:v>2023</x:v>
      </x:c>
      <x:c r="H28" s="138" t="n">
        <x:v>15650</x:v>
      </x:c>
      <x:c r="I28" s="141" t="n">
        <x:v>112567</x:v>
      </x:c>
      <x:c r="J28" s="129" t="str">
        <x:v>Sedan</x:v>
      </x:c>
      <x:c r="K28" s="129" t="str">
        <x:v>FWD</x:v>
      </x:c>
      <x:c r="L28" s="129" t="str">
        <x:v>2.0L MPI I4</x:v>
      </x:c>
      <x:c r="M28" s="129" t="str">
        <x:v>Gasoline</x:v>
      </x:c>
      <x:c r="N28" s="129" t="str">
        <x:v>IVT</x:v>
      </x:c>
      <x:c r="O28" s="129" t="str">
        <x:v>Great Deal</x:v>
      </x:c>
      <x:c r="P28" s="129" t="str">
        <x:v>7th Generation</x:v>
      </x:c>
      <x:c r="Q28" s="144" t="str"/>
    </x:row>
    <x:row r="29">
      <x:c r="A29" s="129" t="str">
        <x:v>ELAN_008</x:v>
      </x:c>
      <x:c r="B29" s="132" t="n">
        <x:v>46233</x:v>
      </x:c>
      <x:c r="C29" s="129" t="str">
        <x:v>Toronto</x:v>
      </x:c>
      <x:c r="D29" s="129" t="str">
        <x:v>Hyundai</x:v>
      </x:c>
      <x:c r="E29" s="129" t="str">
        <x:v>Elantra</x:v>
      </x:c>
      <x:c r="F29" s="129" t="str">
        <x:v>Preferred</x:v>
      </x:c>
      <x:c r="G29" s="135" t="n">
        <x:v>2023</x:v>
      </x:c>
      <x:c r="H29" s="138" t="n">
        <x:v>11888</x:v>
      </x:c>
      <x:c r="I29" s="141" t="n">
        <x:v>203621</x:v>
      </x:c>
      <x:c r="J29" s="129" t="str">
        <x:v>Sedan</x:v>
      </x:c>
      <x:c r="K29" s="129" t="str">
        <x:v>FWD</x:v>
      </x:c>
      <x:c r="L29" s="129" t="str">
        <x:v>2.0L MPI I4</x:v>
      </x:c>
      <x:c r="M29" s="129" t="str">
        <x:v>Gasoline</x:v>
      </x:c>
      <x:c r="N29" s="129" t="str">
        <x:v>IVT</x:v>
      </x:c>
      <x:c r="O29" s="129" t="str">
        <x:v>Great Deal</x:v>
      </x:c>
      <x:c r="P29" s="129" t="str">
        <x:v>7th Generation</x:v>
      </x:c>
      <x:c r="Q29" s="144" t="str">
        <x:v>Unusually high mileage</x:v>
      </x:c>
    </x:row>
    <x:row r="30">
      <x:c r="A30" s="129" t="str">
        <x:v>ELAN_009</x:v>
      </x:c>
      <x:c r="B30" s="132" t="n">
        <x:v>46233</x:v>
      </x:c>
      <x:c r="C30" s="129" t="str">
        <x:v>Ajax</x:v>
      </x:c>
      <x:c r="D30" s="129" t="str">
        <x:v>Hyundai</x:v>
      </x:c>
      <x:c r="E30" s="129" t="str">
        <x:v>Elantra</x:v>
      </x:c>
      <x:c r="F30" s="129" t="str">
        <x:v>N Line Ultimate</x:v>
      </x:c>
      <x:c r="G30" s="135" t="n">
        <x:v>2025</x:v>
      </x:c>
      <x:c r="H30" s="138" t="n">
        <x:v>24999</x:v>
      </x:c>
      <x:c r="I30" s="141" t="n">
        <x:v>21259</x:v>
      </x:c>
      <x:c r="J30" s="129" t="str">
        <x:v>Sedan</x:v>
      </x:c>
      <x:c r="K30" s="129" t="str">
        <x:v>FWD</x:v>
      </x:c>
      <x:c r="L30" s="129" t="str">
        <x:v>1.6L Turbo GDI I4</x:v>
      </x:c>
      <x:c r="M30" s="129" t="str">
        <x:v>Gasoline</x:v>
      </x:c>
      <x:c r="N30" s="129" t="str">
        <x:v>7-speed DCT</x:v>
      </x:c>
      <x:c r="O30" s="129" t="str">
        <x:v>Great Deal</x:v>
      </x:c>
      <x:c r="P30" s="129" t="str">
        <x:v>7th Generation</x:v>
      </x:c>
      <x:c r="Q30" s="144" t="str"/>
    </x:row>
    <x:row r="31">
      <x:c r="A31" s="129" t="str">
        <x:v>ELAN_010</x:v>
      </x:c>
      <x:c r="B31" s="132" t="n">
        <x:v>46233</x:v>
      </x:c>
      <x:c r="C31" s="129" t="str">
        <x:v>Mississauga</x:v>
      </x:c>
      <x:c r="D31" s="129" t="str">
        <x:v>Hyundai</x:v>
      </x:c>
      <x:c r="E31" s="129" t="str">
        <x:v>Elantra</x:v>
      </x:c>
      <x:c r="F31" s="129" t="str">
        <x:v>Essential</x:v>
      </x:c>
      <x:c r="G31" s="135" t="n">
        <x:v>2024</x:v>
      </x:c>
      <x:c r="H31" s="138" t="n">
        <x:v>19821</x:v>
      </x:c>
      <x:c r="I31" s="141" t="n">
        <x:v>27959</x:v>
      </x:c>
      <x:c r="J31" s="129" t="str">
        <x:v>Sedan</x:v>
      </x:c>
      <x:c r="K31" s="129" t="str">
        <x:v>FWD</x:v>
      </x:c>
      <x:c r="L31" s="129" t="str">
        <x:v>2.0L MPI I4</x:v>
      </x:c>
      <x:c r="M31" s="129" t="str">
        <x:v>Gasoline</x:v>
      </x:c>
      <x:c r="N31" s="129" t="str">
        <x:v>IVT</x:v>
      </x:c>
      <x:c r="O31" s="129" t="str">
        <x:v>Great Deal</x:v>
      </x:c>
      <x:c r="P31" s="129" t="str">
        <x:v>7th Generation</x:v>
      </x:c>
      <x:c r="Q31" s="144" t="str">
        <x:v>Price reduced by $1,000</x:v>
      </x:c>
    </x:row>
    <x:row r="32">
      <x:c r="A32" s="129" t="str">
        <x:v>ELAN_011</x:v>
      </x:c>
      <x:c r="B32" s="132" t="n">
        <x:v>46233</x:v>
      </x:c>
      <x:c r="C32" s="129" t="str">
        <x:v>Bowmanville</x:v>
      </x:c>
      <x:c r="D32" s="129" t="str">
        <x:v>Hyundai</x:v>
      </x:c>
      <x:c r="E32" s="129" t="str">
        <x:v>Elantra</x:v>
      </x:c>
      <x:c r="F32" s="129" t="str">
        <x:v>Preferred</x:v>
      </x:c>
      <x:c r="G32" s="135" t="n">
        <x:v>2025</x:v>
      </x:c>
      <x:c r="H32" s="138" t="n">
        <x:v>23298</x:v>
      </x:c>
      <x:c r="I32" s="141" t="n">
        <x:v>18609</x:v>
      </x:c>
      <x:c r="J32" s="129" t="str">
        <x:v>Sedan</x:v>
      </x:c>
      <x:c r="K32" s="129" t="str">
        <x:v>FWD</x:v>
      </x:c>
      <x:c r="L32" s="129" t="str">
        <x:v>2.0L MPI I4</x:v>
      </x:c>
      <x:c r="M32" s="129" t="str">
        <x:v>Gasoline</x:v>
      </x:c>
      <x:c r="N32" s="129" t="str">
        <x:v>IVT</x:v>
      </x:c>
      <x:c r="O32" s="129" t="str">
        <x:v>Good Deal</x:v>
      </x:c>
      <x:c r="P32" s="129" t="str">
        <x:v>7th Generation</x:v>
      </x:c>
      <x:c r="Q32" s="144" t="str"/>
    </x:row>
    <x:row r="33">
      <x:c r="A33" s="129" t="str">
        <x:v>ELAN_012</x:v>
      </x:c>
      <x:c r="B33" s="132" t="n">
        <x:v>46233</x:v>
      </x:c>
      <x:c r="C33" s="129" t="str">
        <x:v>Toronto</x:v>
      </x:c>
      <x:c r="D33" s="129" t="str">
        <x:v>Hyundai</x:v>
      </x:c>
      <x:c r="E33" s="129" t="str">
        <x:v>Elantra</x:v>
      </x:c>
      <x:c r="F33" s="129" t="str">
        <x:v>Essential</x:v>
      </x:c>
      <x:c r="G33" s="135" t="n">
        <x:v>2022</x:v>
      </x:c>
      <x:c r="H33" s="138" t="n">
        <x:v>14588</x:v>
      </x:c>
      <x:c r="I33" s="141" t="n">
        <x:v>122037</x:v>
      </x:c>
      <x:c r="J33" s="129" t="str">
        <x:v>Sedan</x:v>
      </x:c>
      <x:c r="K33" s="129" t="str">
        <x:v>FWD</x:v>
      </x:c>
      <x:c r="L33" s="129" t="str">
        <x:v>2.0L MPI I4</x:v>
      </x:c>
      <x:c r="M33" s="129" t="str">
        <x:v>Gasoline</x:v>
      </x:c>
      <x:c r="N33" s="129" t="str">
        <x:v>IVT</x:v>
      </x:c>
      <x:c r="O33" s="129" t="str">
        <x:v>Great Deal</x:v>
      </x:c>
      <x:c r="P33" s="129" t="str">
        <x:v>7th Generation</x:v>
      </x:c>
      <x:c r="Q33" s="144" t="str"/>
    </x:row>
    <x:row r="34">
      <x:c r="A34" s="129" t="str">
        <x:v>ELAN_013</x:v>
      </x:c>
      <x:c r="B34" s="132" t="n">
        <x:v>46233</x:v>
      </x:c>
      <x:c r="C34" s="129" t="str">
        <x:v>Concord</x:v>
      </x:c>
      <x:c r="D34" s="129" t="str">
        <x:v>Hyundai</x:v>
      </x:c>
      <x:c r="E34" s="129" t="str">
        <x:v>Elantra</x:v>
      </x:c>
      <x:c r="F34" s="129" t="str">
        <x:v>Preferred</x:v>
      </x:c>
      <x:c r="G34" s="135" t="n">
        <x:v>2023</x:v>
      </x:c>
      <x:c r="H34" s="138" t="n">
        <x:v>16990</x:v>
      </x:c>
      <x:c r="I34" s="141" t="n">
        <x:v>104171</x:v>
      </x:c>
      <x:c r="J34" s="129" t="str">
        <x:v>Sedan</x:v>
      </x:c>
      <x:c r="K34" s="129" t="str">
        <x:v>FWD</x:v>
      </x:c>
      <x:c r="L34" s="129" t="str">
        <x:v>2.0L MPI I4</x:v>
      </x:c>
      <x:c r="M34" s="129" t="str">
        <x:v>Gasoline</x:v>
      </x:c>
      <x:c r="N34" s="129" t="str">
        <x:v>IVT</x:v>
      </x:c>
      <x:c r="O34" s="129" t="str">
        <x:v>Great Deal</x:v>
      </x:c>
      <x:c r="P34" s="129" t="str">
        <x:v>7th Generation</x:v>
      </x:c>
      <x:c r="Q34" s="144" t="str">
        <x:v>Price reduced by $1,500</x:v>
      </x:c>
    </x:row>
    <x:row r="35">
      <x:c r="A35" s="129" t="str">
        <x:v>ELAN_014</x:v>
      </x:c>
      <x:c r="B35" s="132" t="n">
        <x:v>46233</x:v>
      </x:c>
      <x:c r="C35" s="129" t="str">
        <x:v>Oakville</x:v>
      </x:c>
      <x:c r="D35" s="129" t="str">
        <x:v>Hyundai</x:v>
      </x:c>
      <x:c r="E35" s="129" t="str">
        <x:v>Elantra</x:v>
      </x:c>
      <x:c r="F35" s="129" t="str">
        <x:v>Preferred</x:v>
      </x:c>
      <x:c r="G35" s="135" t="n">
        <x:v>2025</x:v>
      </x:c>
      <x:c r="H35" s="138" t="n">
        <x:v>21699</x:v>
      </x:c>
      <x:c r="I35" s="141" t="n">
        <x:v>35592</x:v>
      </x:c>
      <x:c r="J35" s="129" t="str">
        <x:v>Sedan</x:v>
      </x:c>
      <x:c r="K35" s="129" t="str">
        <x:v>FWD</x:v>
      </x:c>
      <x:c r="L35" s="129" t="str">
        <x:v>2.0L MPI I4</x:v>
      </x:c>
      <x:c r="M35" s="129" t="str">
        <x:v>Gasoline</x:v>
      </x:c>
      <x:c r="N35" s="129" t="str">
        <x:v>IVT</x:v>
      </x:c>
      <x:c r="O35" s="129" t="str">
        <x:v>Great Deal</x:v>
      </x:c>
      <x:c r="P35" s="129" t="str">
        <x:v>7th Generation</x:v>
      </x:c>
      <x:c r="Q35" s="144" t="str">
        <x:v>Price reduced by $800</x:v>
      </x:c>
    </x:row>
    <x:row r="36">
      <x:c r="A36" s="129" t="str">
        <x:v>ELAN_015</x:v>
      </x:c>
      <x:c r="B36" s="132" t="n">
        <x:v>46233</x:v>
      </x:c>
      <x:c r="C36" s="129" t="str">
        <x:v>Oakville</x:v>
      </x:c>
      <x:c r="D36" s="129" t="str">
        <x:v>Hyundai</x:v>
      </x:c>
      <x:c r="E36" s="129" t="str">
        <x:v>Elantra</x:v>
      </x:c>
      <x:c r="F36" s="129" t="str">
        <x:v>Preferred</x:v>
      </x:c>
      <x:c r="G36" s="135" t="n">
        <x:v>2025</x:v>
      </x:c>
      <x:c r="H36" s="138" t="n">
        <x:v>21999</x:v>
      </x:c>
      <x:c r="I36" s="141" t="n">
        <x:v>16600</x:v>
      </x:c>
      <x:c r="J36" s="129" t="str">
        <x:v>Sedan</x:v>
      </x:c>
      <x:c r="K36" s="129" t="str">
        <x:v>FWD</x:v>
      </x:c>
      <x:c r="L36" s="129" t="str">
        <x:v>2.0L MPI I4</x:v>
      </x:c>
      <x:c r="M36" s="129" t="str">
        <x:v>Gasoline</x:v>
      </x:c>
      <x:c r="N36" s="129" t="str">
        <x:v>IVT</x:v>
      </x:c>
      <x:c r="O36" s="129" t="str">
        <x:v>Great Deal</x:v>
      </x:c>
      <x:c r="P36" s="129" t="str">
        <x:v>7th Generation</x:v>
      </x:c>
      <x:c r="Q36" s="144" t="str"/>
    </x:row>
    <x:row r="37">
      <x:c r="A37" s="129" t="str">
        <x:v>ELAN_016</x:v>
      </x:c>
      <x:c r="B37" s="132" t="n">
        <x:v>46233</x:v>
      </x:c>
      <x:c r="C37" s="129" t="str">
        <x:v>Vaughan</x:v>
      </x:c>
      <x:c r="D37" s="129" t="str">
        <x:v>Hyundai</x:v>
      </x:c>
      <x:c r="E37" s="129" t="str">
        <x:v>Elantra</x:v>
      </x:c>
      <x:c r="F37" s="129" t="str">
        <x:v>N Line Ultimate</x:v>
      </x:c>
      <x:c r="G37" s="135" t="n">
        <x:v>2024</x:v>
      </x:c>
      <x:c r="H37" s="138" t="n">
        <x:v>23988</x:v>
      </x:c>
      <x:c r="I37" s="141" t="n">
        <x:v>51679</x:v>
      </x:c>
      <x:c r="J37" s="129" t="str">
        <x:v>Sedan</x:v>
      </x:c>
      <x:c r="K37" s="129" t="str">
        <x:v>FWD</x:v>
      </x:c>
      <x:c r="L37" s="129" t="str">
        <x:v>1.6L Turbo GDI I4</x:v>
      </x:c>
      <x:c r="M37" s="129" t="str">
        <x:v>Gasoline</x:v>
      </x:c>
      <x:c r="N37" s="129" t="str">
        <x:v>7-speed DCT</x:v>
      </x:c>
      <x:c r="O37" s="129" t="str">
        <x:v>Great Deal</x:v>
      </x:c>
      <x:c r="P37" s="129" t="str">
        <x:v>7th Generation</x:v>
      </x:c>
      <x:c r="Q37" s="144" t="str">
        <x:v>Price reduced by $900</x:v>
      </x:c>
    </x:row>
    <x:row r="38">
      <x:c r="A38" s="129" t="str">
        <x:v>ELAN_017</x:v>
      </x:c>
      <x:c r="B38" s="132" t="n">
        <x:v>46233</x:v>
      </x:c>
      <x:c r="C38" s="129" t="str">
        <x:v>Brampton</x:v>
      </x:c>
      <x:c r="D38" s="129" t="str">
        <x:v>Hyundai</x:v>
      </x:c>
      <x:c r="E38" s="129" t="str">
        <x:v>Elantra</x:v>
      </x:c>
      <x:c r="F38" s="129" t="str">
        <x:v>Preferred</x:v>
      </x:c>
      <x:c r="G38" s="135" t="n">
        <x:v>2023</x:v>
      </x:c>
      <x:c r="H38" s="138" t="n">
        <x:v>14990</x:v>
      </x:c>
      <x:c r="I38" s="141" t="n">
        <x:v>130269</x:v>
      </x:c>
      <x:c r="J38" s="129" t="str">
        <x:v>Sedan</x:v>
      </x:c>
      <x:c r="K38" s="129" t="str">
        <x:v>FWD</x:v>
      </x:c>
      <x:c r="L38" s="129" t="str">
        <x:v>2.0L MPI I4</x:v>
      </x:c>
      <x:c r="M38" s="129" t="str">
        <x:v>Gasoline</x:v>
      </x:c>
      <x:c r="N38" s="129" t="str">
        <x:v>IVT</x:v>
      </x:c>
      <x:c r="O38" s="129" t="str">
        <x:v>Great Deal</x:v>
      </x:c>
      <x:c r="P38" s="129" t="str">
        <x:v>7th Generation</x:v>
      </x:c>
      <x:c r="Q38" s="144" t="str"/>
    </x:row>
    <x:row r="39">
      <x:c r="A39" s="129" t="str">
        <x:v>ELAN_018</x:v>
      </x:c>
      <x:c r="B39" s="132" t="n">
        <x:v>46233</x:v>
      </x:c>
      <x:c r="C39" s="129" t="str">
        <x:v>Waterloo</x:v>
      </x:c>
      <x:c r="D39" s="129" t="str">
        <x:v>Hyundai</x:v>
      </x:c>
      <x:c r="E39" s="129" t="str">
        <x:v>Elantra</x:v>
      </x:c>
      <x:c r="F39" s="129" t="str">
        <x:v>Essential</x:v>
      </x:c>
      <x:c r="G39" s="135" t="n">
        <x:v>2024</x:v>
      </x:c>
      <x:c r="H39" s="138" t="n">
        <x:v>19999</x:v>
      </x:c>
      <x:c r="I39" s="141" t="n">
        <x:v>54272</x:v>
      </x:c>
      <x:c r="J39" s="129" t="str">
        <x:v>Sedan</x:v>
      </x:c>
      <x:c r="K39" s="129" t="str">
        <x:v>FWD</x:v>
      </x:c>
      <x:c r="L39" s="129" t="str">
        <x:v>2.0L MPI I4</x:v>
      </x:c>
      <x:c r="M39" s="129" t="str">
        <x:v>Gasoline</x:v>
      </x:c>
      <x:c r="N39" s="129" t="str">
        <x:v>IVT</x:v>
      </x:c>
      <x:c r="O39" s="129" t="str">
        <x:v>Great Deal</x:v>
      </x:c>
      <x:c r="P39" s="129" t="str">
        <x:v>7th Generation</x:v>
      </x:c>
      <x:c r="Q39" s="144" t="str">
        <x:v>Price reduced by $1,000</x:v>
      </x:c>
    </x:row>
    <x:row r="40">
      <x:c r="A40" s="129" t="str">
        <x:v>ELAN_019</x:v>
      </x:c>
      <x:c r="B40" s="132" t="n">
        <x:v>46233</x:v>
      </x:c>
      <x:c r="C40" s="129" t="str">
        <x:v>Belleville</x:v>
      </x:c>
      <x:c r="D40" s="129" t="str">
        <x:v>Hyundai</x:v>
      </x:c>
      <x:c r="E40" s="129" t="str">
        <x:v>Elantra</x:v>
      </x:c>
      <x:c r="F40" s="129" t="str">
        <x:v>Essential</x:v>
      </x:c>
      <x:c r="G40" s="135" t="n">
        <x:v>2025</x:v>
      </x:c>
      <x:c r="H40" s="138" t="n">
        <x:v>19981</x:v>
      </x:c>
      <x:c r="I40" s="141" t="n">
        <x:v>32113</x:v>
      </x:c>
      <x:c r="J40" s="129" t="str">
        <x:v>Sedan</x:v>
      </x:c>
      <x:c r="K40" s="129" t="str">
        <x:v>FWD</x:v>
      </x:c>
      <x:c r="L40" s="129" t="str">
        <x:v>2.0L MPI I4</x:v>
      </x:c>
      <x:c r="M40" s="129" t="str">
        <x:v>Gasoline</x:v>
      </x:c>
      <x:c r="N40" s="129" t="str">
        <x:v>IVT</x:v>
      </x:c>
      <x:c r="O40" s="129" t="str">
        <x:v>Great Deal</x:v>
      </x:c>
      <x:c r="P40" s="129" t="str">
        <x:v>7th Generation</x:v>
      </x:c>
      <x:c r="Q40" s="144" t="str"/>
    </x:row>
    <x:row r="41">
      <x:c r="A41" s="129" t="str">
        <x:v>ELAN_020</x:v>
      </x:c>
      <x:c r="B41" s="132" t="n">
        <x:v>46233</x:v>
      </x:c>
      <x:c r="C41" s="129" t="str">
        <x:v>Cambridge</x:v>
      </x:c>
      <x:c r="D41" s="129" t="str">
        <x:v>Hyundai</x:v>
      </x:c>
      <x:c r="E41" s="129" t="str">
        <x:v>Elantra</x:v>
      </x:c>
      <x:c r="F41" s="129" t="str">
        <x:v>Preferred</x:v>
      </x:c>
      <x:c r="G41" s="135" t="n">
        <x:v>2025</x:v>
      </x:c>
      <x:c r="H41" s="138" t="n">
        <x:v>23316</x:v>
      </x:c>
      <x:c r="I41" s="141" t="n">
        <x:v>19255</x:v>
      </x:c>
      <x:c r="J41" s="129" t="str">
        <x:v>Sedan</x:v>
      </x:c>
      <x:c r="K41" s="129" t="str">
        <x:v>FWD</x:v>
      </x:c>
      <x:c r="L41" s="129" t="str">
        <x:v>2.0L MPI I4</x:v>
      </x:c>
      <x:c r="M41" s="129" t="str">
        <x:v>Gasoline</x:v>
      </x:c>
      <x:c r="N41" s="129" t="str">
        <x:v>IVT</x:v>
      </x:c>
      <x:c r="O41" s="129" t="str">
        <x:v>Great Deal</x:v>
      </x:c>
      <x:c r="P41" s="129" t="str">
        <x:v>7th Generation</x:v>
      </x:c>
      <x:c r="Q41" s="144" t="str"/>
    </x:row>
    <x:row r="42">
      <x:c r="A42" s="129" t="str">
        <x:v>ACCH_001</x:v>
      </x:c>
      <x:c r="B42" s="132" t="n">
        <x:v>46233</x:v>
      </x:c>
      <x:c r="C42" s="129" t="str">
        <x:v>Brampton</x:v>
      </x:c>
      <x:c r="D42" s="129" t="str">
        <x:v>Honda</x:v>
      </x:c>
      <x:c r="E42" s="129" t="str">
        <x:v>Accord Hybrid</x:v>
      </x:c>
      <x:c r="F42" s="129" t="str">
        <x:v>Touring</x:v>
      </x:c>
      <x:c r="G42" s="135" t="n">
        <x:v>2023</x:v>
      </x:c>
      <x:c r="H42" s="138" t="n">
        <x:v>27501</x:v>
      </x:c>
      <x:c r="I42" s="141" t="n">
        <x:v>106134</x:v>
      </x:c>
      <x:c r="J42" s="129" t="str">
        <x:v>Sedan</x:v>
      </x:c>
      <x:c r="K42" s="129" t="str">
        <x:v>FWD</x:v>
      </x:c>
      <x:c r="L42" s="129" t="str">
        <x:v>2.0L I4 Hybrid</x:v>
      </x:c>
      <x:c r="M42" s="129" t="str">
        <x:v>Hybrid</x:v>
      </x:c>
      <x:c r="N42" s="129" t="str">
        <x:v>e-CVT</x:v>
      </x:c>
      <x:c r="O42" s="129" t="str">
        <x:v>Great Deal</x:v>
      </x:c>
      <x:c r="P42" s="129" t="str">
        <x:v>11th Generation</x:v>
      </x:c>
      <x:c r="Q42" s="144" t="str"/>
    </x:row>
    <x:row r="43">
      <x:c r="A43" s="129" t="str">
        <x:v>ACCH_002</x:v>
      </x:c>
      <x:c r="B43" s="132" t="n">
        <x:v>46233</x:v>
      </x:c>
      <x:c r="C43" s="129" t="str">
        <x:v>Brampton</x:v>
      </x:c>
      <x:c r="D43" s="129" t="str">
        <x:v>Honda</x:v>
      </x:c>
      <x:c r="E43" s="129" t="str">
        <x:v>Accord Hybrid</x:v>
      </x:c>
      <x:c r="F43" s="129" t="str">
        <x:v>Touring</x:v>
      </x:c>
      <x:c r="G43" s="135" t="n">
        <x:v>2023</x:v>
      </x:c>
      <x:c r="H43" s="138" t="n">
        <x:v>34999</x:v>
      </x:c>
      <x:c r="I43" s="141" t="n">
        <x:v>32242</x:v>
      </x:c>
      <x:c r="J43" s="129" t="str">
        <x:v>Sedan</x:v>
      </x:c>
      <x:c r="K43" s="129" t="str">
        <x:v>FWD</x:v>
      </x:c>
      <x:c r="L43" s="129" t="str">
        <x:v>2.0L I4 Hybrid</x:v>
      </x:c>
      <x:c r="M43" s="129" t="str">
        <x:v>Hybrid</x:v>
      </x:c>
      <x:c r="N43" s="129" t="str">
        <x:v>e-CVT</x:v>
      </x:c>
      <x:c r="O43" s="129" t="str">
        <x:v>Good Deal</x:v>
      </x:c>
      <x:c r="P43" s="129" t="str">
        <x:v>11th Generation</x:v>
      </x:c>
      <x:c r="Q43" s="144" t="str">
        <x:v>Price reduced by $1,000</x:v>
      </x:c>
    </x:row>
    <x:row r="44">
      <x:c r="A44" s="129" t="str">
        <x:v>ACCH_003</x:v>
      </x:c>
      <x:c r="B44" s="132" t="n">
        <x:v>46233</x:v>
      </x:c>
      <x:c r="C44" s="129" t="str">
        <x:v>Toronto</x:v>
      </x:c>
      <x:c r="D44" s="129" t="str">
        <x:v>Honda</x:v>
      </x:c>
      <x:c r="E44" s="129" t="str">
        <x:v>Accord Hybrid</x:v>
      </x:c>
      <x:c r="F44" s="129" t="str">
        <x:v>Touring</x:v>
      </x:c>
      <x:c r="G44" s="135" t="n">
        <x:v>2025</x:v>
      </x:c>
      <x:c r="H44" s="138" t="n">
        <x:v>39998</x:v>
      </x:c>
      <x:c r="I44" s="141" t="n">
        <x:v>11108</x:v>
      </x:c>
      <x:c r="J44" s="129" t="str">
        <x:v>Sedan</x:v>
      </x:c>
      <x:c r="K44" s="129" t="str">
        <x:v>FWD</x:v>
      </x:c>
      <x:c r="L44" s="129" t="str">
        <x:v>2.0L I4 Hybrid</x:v>
      </x:c>
      <x:c r="M44" s="129" t="str">
        <x:v>Hybrid</x:v>
      </x:c>
      <x:c r="N44" s="129" t="str">
        <x:v>e-CVT</x:v>
      </x:c>
      <x:c r="O44" s="129" t="str">
        <x:v>Good Deal</x:v>
      </x:c>
      <x:c r="P44" s="129" t="str">
        <x:v>11th Generation</x:v>
      </x:c>
      <x:c r="Q44" s="144" t="str"/>
    </x:row>
    <x:row r="45">
      <x:c r="A45" s="129" t="str">
        <x:v>ACCH_004</x:v>
      </x:c>
      <x:c r="B45" s="132" t="n">
        <x:v>46233</x:v>
      </x:c>
      <x:c r="C45" s="129" t="str">
        <x:v>Whitby</x:v>
      </x:c>
      <x:c r="D45" s="129" t="str">
        <x:v>Honda</x:v>
      </x:c>
      <x:c r="E45" s="129" t="str">
        <x:v>Accord Hybrid</x:v>
      </x:c>
      <x:c r="F45" s="129" t="str">
        <x:v>Sport</x:v>
      </x:c>
      <x:c r="G45" s="135" t="n">
        <x:v>2024</x:v>
      </x:c>
      <x:c r="H45" s="138" t="n">
        <x:v>35500</x:v>
      </x:c>
      <x:c r="I45" s="141" t="n">
        <x:v>18508</x:v>
      </x:c>
      <x:c r="J45" s="129" t="str">
        <x:v>Sedan</x:v>
      </x:c>
      <x:c r="K45" s="129" t="str">
        <x:v>FWD</x:v>
      </x:c>
      <x:c r="L45" s="129" t="str">
        <x:v>2.0L I4 Hybrid</x:v>
      </x:c>
      <x:c r="M45" s="129" t="str">
        <x:v>Hybrid</x:v>
      </x:c>
      <x:c r="N45" s="129" t="str">
        <x:v>e-CVT</x:v>
      </x:c>
      <x:c r="O45" s="129" t="str">
        <x:v>Great Deal</x:v>
      </x:c>
      <x:c r="P45" s="129" t="str">
        <x:v>11th Generation</x:v>
      </x:c>
      <x:c r="Q45" s="144" t="str"/>
    </x:row>
    <x:row r="46">
      <x:c r="A46" s="129" t="str">
        <x:v>ACCH_005</x:v>
      </x:c>
      <x:c r="B46" s="132" t="n">
        <x:v>46233</x:v>
      </x:c>
      <x:c r="C46" s="129" t="str">
        <x:v>Whitby</x:v>
      </x:c>
      <x:c r="D46" s="129" t="str">
        <x:v>Honda</x:v>
      </x:c>
      <x:c r="E46" s="129" t="str">
        <x:v>Accord Hybrid</x:v>
      </x:c>
      <x:c r="F46" s="129" t="str">
        <x:v>Sport</x:v>
      </x:c>
      <x:c r="G46" s="135" t="n">
        <x:v>2024</x:v>
      </x:c>
      <x:c r="H46" s="138" t="n">
        <x:v>34700</x:v>
      </x:c>
      <x:c r="I46" s="141" t="n">
        <x:v>22289</x:v>
      </x:c>
      <x:c r="J46" s="129" t="str">
        <x:v>Sedan</x:v>
      </x:c>
      <x:c r="K46" s="129" t="str">
        <x:v>FWD</x:v>
      </x:c>
      <x:c r="L46" s="129" t="str">
        <x:v>2.0L I4 Hybrid</x:v>
      </x:c>
      <x:c r="M46" s="129" t="str">
        <x:v>Hybrid</x:v>
      </x:c>
      <x:c r="N46" s="129" t="str">
        <x:v>e-CVT</x:v>
      </x:c>
      <x:c r="O46" s="129" t="str">
        <x:v>Great Deal</x:v>
      </x:c>
      <x:c r="P46" s="129" t="str">
        <x:v>11th Generation</x:v>
      </x:c>
      <x:c r="Q46" s="144" t="str"/>
    </x:row>
    <x:row r="47">
      <x:c r="A47" s="129" t="str">
        <x:v>ACCH_006</x:v>
      </x:c>
      <x:c r="B47" s="132" t="n">
        <x:v>46233</x:v>
      </x:c>
      <x:c r="C47" s="129" t="str">
        <x:v>Brampton</x:v>
      </x:c>
      <x:c r="D47" s="129" t="str">
        <x:v>Honda</x:v>
      </x:c>
      <x:c r="E47" s="129" t="str">
        <x:v>Accord Hybrid</x:v>
      </x:c>
      <x:c r="F47" s="129" t="str">
        <x:v>Sport</x:v>
      </x:c>
      <x:c r="G47" s="135" t="n">
        <x:v>2023</x:v>
      </x:c>
      <x:c r="H47" s="138" t="n">
        <x:v>26999</x:v>
      </x:c>
      <x:c r="I47" s="141" t="n">
        <x:v>96993</x:v>
      </x:c>
      <x:c r="J47" s="129" t="str">
        <x:v>Sedan</x:v>
      </x:c>
      <x:c r="K47" s="129" t="str">
        <x:v>FWD</x:v>
      </x:c>
      <x:c r="L47" s="129" t="str">
        <x:v>2.0L I4 Hybrid</x:v>
      </x:c>
      <x:c r="M47" s="129" t="str">
        <x:v>Hybrid</x:v>
      </x:c>
      <x:c r="N47" s="129" t="str">
        <x:v>e-CVT</x:v>
      </x:c>
      <x:c r="O47" s="129" t="str">
        <x:v>Great Deal</x:v>
      </x:c>
      <x:c r="P47" s="129" t="str">
        <x:v>11th Generation</x:v>
      </x:c>
      <x:c r="Q47" s="144" t="str"/>
    </x:row>
    <x:row r="48">
      <x:c r="A48" s="129" t="str">
        <x:v>ACCH_007</x:v>
      </x:c>
      <x:c r="B48" s="132" t="n">
        <x:v>46233</x:v>
      </x:c>
      <x:c r="C48" s="129" t="str">
        <x:v>Whitby</x:v>
      </x:c>
      <x:c r="D48" s="129" t="str">
        <x:v>Honda</x:v>
      </x:c>
      <x:c r="E48" s="129" t="str">
        <x:v>Accord Hybrid</x:v>
      </x:c>
      <x:c r="F48" s="129" t="str">
        <x:v>Sport</x:v>
      </x:c>
      <x:c r="G48" s="135" t="n">
        <x:v>2023</x:v>
      </x:c>
      <x:c r="H48" s="138" t="n">
        <x:v>31500</x:v>
      </x:c>
      <x:c r="I48" s="141" t="n">
        <x:v>78173</x:v>
      </x:c>
      <x:c r="J48" s="129" t="str">
        <x:v>Sedan</x:v>
      </x:c>
      <x:c r="K48" s="129" t="str">
        <x:v>FWD</x:v>
      </x:c>
      <x:c r="L48" s="129" t="str">
        <x:v>2.0L I4 Hybrid</x:v>
      </x:c>
      <x:c r="M48" s="129" t="str">
        <x:v>Hybrid</x:v>
      </x:c>
      <x:c r="N48" s="129" t="str">
        <x:v>e-CVT</x:v>
      </x:c>
      <x:c r="O48" s="129" t="str">
        <x:v>Good Deal</x:v>
      </x:c>
      <x:c r="P48" s="129" t="str">
        <x:v>11th Generation</x:v>
      </x:c>
      <x:c r="Q48" s="144" t="str"/>
    </x:row>
    <x:row r="49">
      <x:c r="A49" s="129" t="str">
        <x:v>ACCH_008</x:v>
      </x:c>
      <x:c r="B49" s="132" t="n">
        <x:v>46233</x:v>
      </x:c>
      <x:c r="C49" s="129" t="str">
        <x:v>Brampton</x:v>
      </x:c>
      <x:c r="D49" s="129" t="str">
        <x:v>Honda</x:v>
      </x:c>
      <x:c r="E49" s="129" t="str">
        <x:v>Accord Hybrid</x:v>
      </x:c>
      <x:c r="F49" s="129" t="str">
        <x:v>Touring</x:v>
      </x:c>
      <x:c r="G49" s="135" t="n">
        <x:v>2024</x:v>
      </x:c>
      <x:c r="H49" s="138" t="n">
        <x:v>31495</x:v>
      </x:c>
      <x:c r="I49" s="141" t="n">
        <x:v>144795</x:v>
      </x:c>
      <x:c r="J49" s="129" t="str">
        <x:v>Sedan</x:v>
      </x:c>
      <x:c r="K49" s="129" t="str">
        <x:v>FWD</x:v>
      </x:c>
      <x:c r="L49" s="129" t="str">
        <x:v>2.0L I4 Hybrid</x:v>
      </x:c>
      <x:c r="M49" s="129" t="str">
        <x:v>Hybrid</x:v>
      </x:c>
      <x:c r="N49" s="129" t="str">
        <x:v>e-CVT</x:v>
      </x:c>
      <x:c r="O49" s="129" t="str">
        <x:v>Good Deal</x:v>
      </x:c>
      <x:c r="P49" s="129" t="str">
        <x:v>11th Generation</x:v>
      </x:c>
      <x:c r="Q49" s="144" t="str">
        <x:v>High mileage</x:v>
      </x:c>
    </x:row>
    <x:row r="50">
      <x:c r="A50" s="129" t="str">
        <x:v>ACCH_009</x:v>
      </x:c>
      <x:c r="B50" s="132" t="n">
        <x:v>46233</x:v>
      </x:c>
      <x:c r="C50" s="129" t="str">
        <x:v>Burlington</x:v>
      </x:c>
      <x:c r="D50" s="129" t="str">
        <x:v>Honda</x:v>
      </x:c>
      <x:c r="E50" s="129" t="str">
        <x:v>Accord Hybrid</x:v>
      </x:c>
      <x:c r="F50" s="129" t="str">
        <x:v>Touring</x:v>
      </x:c>
      <x:c r="G50" s="135" t="n">
        <x:v>2023</x:v>
      </x:c>
      <x:c r="H50" s="138" t="n">
        <x:v>33498</x:v>
      </x:c>
      <x:c r="I50" s="141" t="n">
        <x:v>75281</x:v>
      </x:c>
      <x:c r="J50" s="129" t="str">
        <x:v>Sedan</x:v>
      </x:c>
      <x:c r="K50" s="129" t="str">
        <x:v>FWD</x:v>
      </x:c>
      <x:c r="L50" s="129" t="str">
        <x:v>2.0L I4 Hybrid</x:v>
      </x:c>
      <x:c r="M50" s="129" t="str">
        <x:v>Hybrid</x:v>
      </x:c>
      <x:c r="N50" s="129" t="str">
        <x:v>e-CVT</x:v>
      </x:c>
      <x:c r="O50" s="129" t="str">
        <x:v>Good Deal</x:v>
      </x:c>
      <x:c r="P50" s="129" t="str">
        <x:v>11th Generation</x:v>
      </x:c>
      <x:c r="Q50" s="144" t="str"/>
    </x:row>
    <x:row r="51">
      <x:c r="A51" s="129" t="str">
        <x:v>ACCH_010</x:v>
      </x:c>
      <x:c r="B51" s="132" t="n">
        <x:v>46233</x:v>
      </x:c>
      <x:c r="C51" s="129" t="str">
        <x:v>Newmarket</x:v>
      </x:c>
      <x:c r="D51" s="129" t="str">
        <x:v>Honda</x:v>
      </x:c>
      <x:c r="E51" s="129" t="str">
        <x:v>Accord Hybrid</x:v>
      </x:c>
      <x:c r="F51" s="129" t="str">
        <x:v>Sport</x:v>
      </x:c>
      <x:c r="G51" s="135" t="n">
        <x:v>2024</x:v>
      </x:c>
      <x:c r="H51" s="138" t="n">
        <x:v>37988</x:v>
      </x:c>
      <x:c r="I51" s="141" t="n">
        <x:v>402</x:v>
      </x:c>
      <x:c r="J51" s="129" t="str">
        <x:v>Sedan</x:v>
      </x:c>
      <x:c r="K51" s="129" t="str">
        <x:v>FWD</x:v>
      </x:c>
      <x:c r="L51" s="129" t="str">
        <x:v>2.0L I4 Hybrid</x:v>
      </x:c>
      <x:c r="M51" s="129" t="str">
        <x:v>Hybrid</x:v>
      </x:c>
      <x:c r="N51" s="129" t="str">
        <x:v>e-CVT</x:v>
      </x:c>
      <x:c r="O51" s="129" t="str">
        <x:v>Good Deal</x:v>
      </x:c>
      <x:c r="P51" s="129" t="str">
        <x:v>11th Generation</x:v>
      </x:c>
      <x:c r="Q51" s="144" t="str">
        <x:v>Unusually low mileage</x:v>
      </x:c>
    </x:row>
    <x:row r="52">
      <x:c r="A52" s="129" t="str">
        <x:v>ACCH_011</x:v>
      </x:c>
      <x:c r="B52" s="132" t="n">
        <x:v>46233</x:v>
      </x:c>
      <x:c r="C52" s="129" t="str">
        <x:v>Mississauga</x:v>
      </x:c>
      <x:c r="D52" s="129" t="str">
        <x:v>Honda</x:v>
      </x:c>
      <x:c r="E52" s="129" t="str">
        <x:v>Accord Hybrid</x:v>
      </x:c>
      <x:c r="F52" s="129" t="str">
        <x:v>Touring</x:v>
      </x:c>
      <x:c r="G52" s="135" t="n">
        <x:v>2025</x:v>
      </x:c>
      <x:c r="H52" s="138" t="n">
        <x:v>39821</x:v>
      </x:c>
      <x:c r="I52" s="141" t="n">
        <x:v>25010</x:v>
      </x:c>
      <x:c r="J52" s="129" t="str">
        <x:v>Sedan</x:v>
      </x:c>
      <x:c r="K52" s="129" t="str">
        <x:v>FWD</x:v>
      </x:c>
      <x:c r="L52" s="129" t="str">
        <x:v>2.0L I4 Hybrid</x:v>
      </x:c>
      <x:c r="M52" s="129" t="str">
        <x:v>Hybrid</x:v>
      </x:c>
      <x:c r="N52" s="129" t="str">
        <x:v>e-CVT</x:v>
      </x:c>
      <x:c r="O52" s="129" t="str">
        <x:v>Good Deal</x:v>
      </x:c>
      <x:c r="P52" s="129" t="str">
        <x:v>11th Generation</x:v>
      </x:c>
      <x:c r="Q52" s="144" t="str">
        <x:v>Price reduced by $2,200</x:v>
      </x:c>
    </x:row>
    <x:row r="53">
      <x:c r="A53" s="129" t="str">
        <x:v>ACCH_012</x:v>
      </x:c>
      <x:c r="B53" s="132" t="n">
        <x:v>46233</x:v>
      </x:c>
      <x:c r="C53" s="129" t="str">
        <x:v>Newmarket</x:v>
      </x:c>
      <x:c r="D53" s="129" t="str">
        <x:v>Honda</x:v>
      </x:c>
      <x:c r="E53" s="129" t="str">
        <x:v>Accord Hybrid</x:v>
      </x:c>
      <x:c r="F53" s="129" t="str">
        <x:v>Touring</x:v>
      </x:c>
      <x:c r="G53" s="135" t="n">
        <x:v>2026</x:v>
      </x:c>
      <x:c r="H53" s="138" t="n">
        <x:v>46499</x:v>
      </x:c>
      <x:c r="I53" s="141" t="n">
        <x:v>5695</x:v>
      </x:c>
      <x:c r="J53" s="129" t="str">
        <x:v>Sedan</x:v>
      </x:c>
      <x:c r="K53" s="129" t="str">
        <x:v>FWD</x:v>
      </x:c>
      <x:c r="L53" s="129" t="str">
        <x:v>2.0L I4 Hybrid</x:v>
      </x:c>
      <x:c r="M53" s="129" t="str">
        <x:v>Hybrid</x:v>
      </x:c>
      <x:c r="N53" s="129" t="str">
        <x:v>e-CVT</x:v>
      </x:c>
      <x:c r="O53" s="129" t="str">
        <x:v>Good Deal</x:v>
      </x:c>
      <x:c r="P53" s="129" t="str">
        <x:v>11th Generation</x:v>
      </x:c>
      <x:c r="Q53" s="144" t="str"/>
    </x:row>
    <x:row r="54">
      <x:c r="A54" s="129" t="str">
        <x:v>ACCH_013</x:v>
      </x:c>
      <x:c r="B54" s="132" t="n">
        <x:v>46233</x:v>
      </x:c>
      <x:c r="C54" s="129" t="str">
        <x:v>Milton</x:v>
      </x:c>
      <x:c r="D54" s="129" t="str">
        <x:v>Honda</x:v>
      </x:c>
      <x:c r="E54" s="129" t="str">
        <x:v>Accord Hybrid</x:v>
      </x:c>
      <x:c r="F54" s="129" t="str">
        <x:v>Touring</x:v>
      </x:c>
      <x:c r="G54" s="135" t="n">
        <x:v>2025</x:v>
      </x:c>
      <x:c r="H54" s="138" t="n">
        <x:v>36499</x:v>
      </x:c>
      <x:c r="I54" s="141" t="n">
        <x:v>53714</x:v>
      </x:c>
      <x:c r="J54" s="129" t="str">
        <x:v>Sedan</x:v>
      </x:c>
      <x:c r="K54" s="129" t="str">
        <x:v>FWD</x:v>
      </x:c>
      <x:c r="L54" s="129" t="str">
        <x:v>2.0L I4 Hybrid</x:v>
      </x:c>
      <x:c r="M54" s="129" t="str">
        <x:v>Hybrid</x:v>
      </x:c>
      <x:c r="N54" s="129" t="str">
        <x:v>e-CVT</x:v>
      </x:c>
      <x:c r="O54" s="129" t="str">
        <x:v>Good Deal</x:v>
      </x:c>
      <x:c r="P54" s="129" t="str">
        <x:v>11th Generation</x:v>
      </x:c>
      <x:c r="Q54" s="144" t="str"/>
    </x:row>
    <x:row r="55">
      <x:c r="A55" s="129" t="str">
        <x:v>ACCH_014</x:v>
      </x:c>
      <x:c r="B55" s="132" t="n">
        <x:v>46233</x:v>
      </x:c>
      <x:c r="C55" s="129" t="str">
        <x:v>Ottawa</x:v>
      </x:c>
      <x:c r="D55" s="129" t="str">
        <x:v>Honda</x:v>
      </x:c>
      <x:c r="E55" s="129" t="str">
        <x:v>Accord Hybrid</x:v>
      </x:c>
      <x:c r="F55" s="129" t="str">
        <x:v>Sport-L</x:v>
      </x:c>
      <x:c r="G55" s="135" t="n">
        <x:v>2025</x:v>
      </x:c>
      <x:c r="H55" s="138" t="n">
        <x:v>38034</x:v>
      </x:c>
      <x:c r="I55" s="141" t="n">
        <x:v>21551</x:v>
      </x:c>
      <x:c r="J55" s="129" t="str">
        <x:v>Sedan</x:v>
      </x:c>
      <x:c r="K55" s="129" t="str">
        <x:v>FWD</x:v>
      </x:c>
      <x:c r="L55" s="129" t="str">
        <x:v>2.0L I4 Hybrid</x:v>
      </x:c>
      <x:c r="M55" s="129" t="str">
        <x:v>Hybrid</x:v>
      </x:c>
      <x:c r="N55" s="129" t="str">
        <x:v>e-CVT</x:v>
      </x:c>
      <x:c r="O55" s="129" t="str">
        <x:v>Good Deal</x:v>
      </x:c>
      <x:c r="P55" s="129" t="str">
        <x:v>11th Generation</x:v>
      </x:c>
      <x:c r="Q55" s="144" t="str">
        <x:v>Includes $577 delivery; verify Sport-L Canadian-market status</x:v>
      </x:c>
    </x:row>
    <x:row r="56">
      <x:c r="A56" s="129" t="str">
        <x:v>ACCH_015</x:v>
      </x:c>
      <x:c r="B56" s="132" t="n">
        <x:v>46233</x:v>
      </x:c>
      <x:c r="C56" s="129" t="str">
        <x:v>Whitby</x:v>
      </x:c>
      <x:c r="D56" s="129" t="str">
        <x:v>Honda</x:v>
      </x:c>
      <x:c r="E56" s="129" t="str">
        <x:v>Accord Hybrid</x:v>
      </x:c>
      <x:c r="F56" s="129" t="str">
        <x:v>Touring</x:v>
      </x:c>
      <x:c r="G56" s="135" t="n">
        <x:v>2025</x:v>
      </x:c>
      <x:c r="H56" s="138" t="n">
        <x:v>42900</x:v>
      </x:c>
      <x:c r="I56" s="141" t="n">
        <x:v>8827</x:v>
      </x:c>
      <x:c r="J56" s="129" t="str">
        <x:v>Sedan</x:v>
      </x:c>
      <x:c r="K56" s="129" t="str">
        <x:v>FWD</x:v>
      </x:c>
      <x:c r="L56" s="129" t="str">
        <x:v>2.0L I4 Hybrid</x:v>
      </x:c>
      <x:c r="M56" s="129" t="str">
        <x:v>Hybrid</x:v>
      </x:c>
      <x:c r="N56" s="129" t="str">
        <x:v>e-CVT</x:v>
      </x:c>
      <x:c r="O56" s="129" t="str">
        <x:v>Fair Deal</x:v>
      </x:c>
      <x:c r="P56" s="129" t="str">
        <x:v>11th Generation</x:v>
      </x:c>
      <x:c r="Q56" s="144" t="str"/>
    </x:row>
    <x:row r="57">
      <x:c r="A57" s="129" t="str">
        <x:v>ACCH_016</x:v>
      </x:c>
      <x:c r="B57" s="132" t="n">
        <x:v>46233</x:v>
      </x:c>
      <x:c r="C57" s="129" t="str">
        <x:v>Whitby</x:v>
      </x:c>
      <x:c r="D57" s="129" t="str">
        <x:v>Honda</x:v>
      </x:c>
      <x:c r="E57" s="129" t="str">
        <x:v>Accord Hybrid</x:v>
      </x:c>
      <x:c r="F57" s="129" t="str">
        <x:v>Touring</x:v>
      </x:c>
      <x:c r="G57" s="135" t="n">
        <x:v>2025</x:v>
      </x:c>
      <x:c r="H57" s="138" t="n">
        <x:v>42200</x:v>
      </x:c>
      <x:c r="I57" s="141" t="n">
        <x:v>16745</x:v>
      </x:c>
      <x:c r="J57" s="129" t="str">
        <x:v>Sedan</x:v>
      </x:c>
      <x:c r="K57" s="129" t="str">
        <x:v>FWD</x:v>
      </x:c>
      <x:c r="L57" s="129" t="str">
        <x:v>2.0L I4 Hybrid</x:v>
      </x:c>
      <x:c r="M57" s="129" t="str">
        <x:v>Hybrid</x:v>
      </x:c>
      <x:c r="N57" s="129" t="str">
        <x:v>e-CVT</x:v>
      </x:c>
      <x:c r="O57" s="129" t="str">
        <x:v>Fair Deal</x:v>
      </x:c>
      <x:c r="P57" s="129" t="str">
        <x:v>11th Generation</x:v>
      </x:c>
      <x:c r="Q57" s="144" t="str"/>
    </x:row>
    <x:row r="58">
      <x:c r="A58" s="129" t="str">
        <x:v>ACCH_017</x:v>
      </x:c>
      <x:c r="B58" s="132" t="n">
        <x:v>46233</x:v>
      </x:c>
      <x:c r="C58" s="129" t="str">
        <x:v>Toronto</x:v>
      </x:c>
      <x:c r="D58" s="129" t="str">
        <x:v>Honda</x:v>
      </x:c>
      <x:c r="E58" s="129" t="str">
        <x:v>Accord Hybrid</x:v>
      </x:c>
      <x:c r="F58" s="129" t="str">
        <x:v>Sport</x:v>
      </x:c>
      <x:c r="G58" s="135" t="n">
        <x:v>2024</x:v>
      </x:c>
      <x:c r="H58" s="138" t="n">
        <x:v>29700</x:v>
      </x:c>
      <x:c r="I58" s="141" t="n">
        <x:v>105561</x:v>
      </x:c>
      <x:c r="J58" s="129" t="str">
        <x:v>Sedan</x:v>
      </x:c>
      <x:c r="K58" s="129" t="str">
        <x:v>FWD</x:v>
      </x:c>
      <x:c r="L58" s="129" t="str">
        <x:v>2.0L I4 Hybrid</x:v>
      </x:c>
      <x:c r="M58" s="129" t="str">
        <x:v>Hybrid</x:v>
      </x:c>
      <x:c r="N58" s="129" t="str">
        <x:v>e-CVT</x:v>
      </x:c>
      <x:c r="O58" s="129" t="str">
        <x:v>Fair Deal</x:v>
      </x:c>
      <x:c r="P58" s="129" t="str">
        <x:v>11th Generation</x:v>
      </x:c>
      <x:c r="Q58" s="144" t="str">
        <x:v>High mileage</x:v>
      </x:c>
    </x:row>
    <x:row r="59">
      <x:c r="A59" s="129" t="str">
        <x:v>ACCH_018</x:v>
      </x:c>
      <x:c r="B59" s="132" t="n">
        <x:v>46233</x:v>
      </x:c>
      <x:c r="C59" s="129" t="str">
        <x:v>Scarborough</x:v>
      </x:c>
      <x:c r="D59" s="129" t="str">
        <x:v>Honda</x:v>
      </x:c>
      <x:c r="E59" s="129" t="str">
        <x:v>Accord Hybrid</x:v>
      </x:c>
      <x:c r="F59" s="129" t="str">
        <x:v>Touring</x:v>
      </x:c>
      <x:c r="G59" s="135" t="n">
        <x:v>2023</x:v>
      </x:c>
      <x:c r="H59" s="138" t="n">
        <x:v>33895</x:v>
      </x:c>
      <x:c r="I59" s="141" t="n">
        <x:v>82763</x:v>
      </x:c>
      <x:c r="J59" s="129" t="str">
        <x:v>Sedan</x:v>
      </x:c>
      <x:c r="K59" s="129" t="str">
        <x:v>FWD</x:v>
      </x:c>
      <x:c r="L59" s="129" t="str">
        <x:v>2.0L I4 Hybrid</x:v>
      </x:c>
      <x:c r="M59" s="129" t="str">
        <x:v>Hybrid</x:v>
      </x:c>
      <x:c r="N59" s="129" t="str">
        <x:v>e-CVT</x:v>
      </x:c>
      <x:c r="O59" s="129" t="str">
        <x:v>Fair Deal</x:v>
      </x:c>
      <x:c r="P59" s="129" t="str">
        <x:v>11th Generation</x:v>
      </x:c>
      <x:c r="Q59" s="144" t="str"/>
    </x:row>
    <x:row r="60">
      <x:c r="A60" s="129" t="str">
        <x:v>ACCH_019</x:v>
      </x:c>
      <x:c r="B60" s="132" t="n">
        <x:v>46233</x:v>
      </x:c>
      <x:c r="C60" s="129" t="str">
        <x:v>Toronto</x:v>
      </x:c>
      <x:c r="D60" s="129" t="str">
        <x:v>Honda</x:v>
      </x:c>
      <x:c r="E60" s="129" t="str">
        <x:v>Accord Hybrid</x:v>
      </x:c>
      <x:c r="F60" s="129" t="str">
        <x:v>Touring</x:v>
      </x:c>
      <x:c r="G60" s="135" t="n">
        <x:v>2025</x:v>
      </x:c>
      <x:c r="H60" s="138" t="n">
        <x:v>41900</x:v>
      </x:c>
      <x:c r="I60" s="141" t="n">
        <x:v>7841</x:v>
      </x:c>
      <x:c r="J60" s="129" t="str">
        <x:v>Sedan</x:v>
      </x:c>
      <x:c r="K60" s="129" t="str">
        <x:v>FWD</x:v>
      </x:c>
      <x:c r="L60" s="129" t="str">
        <x:v>2.0L I4 Hybrid</x:v>
      </x:c>
      <x:c r="M60" s="129" t="str">
        <x:v>Hybrid</x:v>
      </x:c>
      <x:c r="N60" s="129" t="str">
        <x:v>e-CVT</x:v>
      </x:c>
      <x:c r="O60" s="129" t="str">
        <x:v>Fair Deal</x:v>
      </x:c>
      <x:c r="P60" s="129" t="str">
        <x:v>11th Generation</x:v>
      </x:c>
      <x:c r="Q60" s="144" t="str"/>
    </x:row>
    <x:row r="61">
      <x:c r="A61" s="129" t="str">
        <x:v>ACCH_020</x:v>
      </x:c>
      <x:c r="B61" s="132" t="n">
        <x:v>46233</x:v>
      </x:c>
      <x:c r="C61" s="129" t="str">
        <x:v>Toronto</x:v>
      </x:c>
      <x:c r="D61" s="129" t="str">
        <x:v>Honda</x:v>
      </x:c>
      <x:c r="E61" s="129" t="str">
        <x:v>Accord Hybrid</x:v>
      </x:c>
      <x:c r="F61" s="129" t="str">
        <x:v>Touring</x:v>
      </x:c>
      <x:c r="G61" s="135" t="n">
        <x:v>2025</x:v>
      </x:c>
      <x:c r="H61" s="138" t="n">
        <x:v>36000</x:v>
      </x:c>
      <x:c r="I61" s="141" t="n">
        <x:v>115138</x:v>
      </x:c>
      <x:c r="J61" s="129" t="str">
        <x:v>Sedan</x:v>
      </x:c>
      <x:c r="K61" s="129" t="str">
        <x:v>FWD</x:v>
      </x:c>
      <x:c r="L61" s="129" t="str">
        <x:v>2.0L I4 Hybrid</x:v>
      </x:c>
      <x:c r="M61" s="129" t="str">
        <x:v>Hybrid</x:v>
      </x:c>
      <x:c r="N61" s="129" t="str">
        <x:v>e-CVT</x:v>
      </x:c>
      <x:c r="O61" s="129" t="str">
        <x:v>Fair Deal</x:v>
      </x:c>
      <x:c r="P61" s="129" t="str">
        <x:v>11th Generation</x:v>
      </x:c>
      <x:c r="Q61" s="144" t="str">
        <x:v>High mileage</x:v>
      </x:c>
    </x:row>
    <x:row r="62">
      <x:c r="A62" s="129" t="str">
        <x:v>ACCH_021</x:v>
      </x:c>
      <x:c r="B62" s="132" t="n">
        <x:v>46233</x:v>
      </x:c>
      <x:c r="C62" s="129" t="str">
        <x:v>Whitby</x:v>
      </x:c>
      <x:c r="D62" s="129" t="str">
        <x:v>Honda</x:v>
      </x:c>
      <x:c r="E62" s="129" t="str">
        <x:v>Accord Hybrid</x:v>
      </x:c>
      <x:c r="F62" s="129" t="str">
        <x:v>Touring</x:v>
      </x:c>
      <x:c r="G62" s="135" t="n">
        <x:v>2025</x:v>
      </x:c>
      <x:c r="H62" s="138" t="n">
        <x:v>40900</x:v>
      </x:c>
      <x:c r="I62" s="141" t="n">
        <x:v>26611</x:v>
      </x:c>
      <x:c r="J62" s="129" t="str">
        <x:v>Sedan</x:v>
      </x:c>
      <x:c r="K62" s="129" t="str">
        <x:v>FWD</x:v>
      </x:c>
      <x:c r="L62" s="129" t="str">
        <x:v>2.0L I4 Hybrid</x:v>
      </x:c>
      <x:c r="M62" s="129" t="str">
        <x:v>Hybrid</x:v>
      </x:c>
      <x:c r="N62" s="129" t="str">
        <x:v>e-CVT</x:v>
      </x:c>
      <x:c r="O62" s="129" t="str">
        <x:v>Fair Deal</x:v>
      </x:c>
      <x:c r="P62" s="129" t="str">
        <x:v>11th Generation</x:v>
      </x:c>
      <x:c r="Q62" s="144" t="str"/>
    </x:row>
    <x:row r="63">
      <x:c r="A63" s="129" t="str">
        <x:v>ACCH_022</x:v>
      </x:c>
      <x:c r="B63" s="132" t="n">
        <x:v>46233</x:v>
      </x:c>
      <x:c r="C63" s="129" t="str">
        <x:v>Whitby</x:v>
      </x:c>
      <x:c r="D63" s="129" t="str">
        <x:v>Honda</x:v>
      </x:c>
      <x:c r="E63" s="129" t="str">
        <x:v>Accord Hybrid</x:v>
      </x:c>
      <x:c r="F63" s="129" t="str">
        <x:v>Touring</x:v>
      </x:c>
      <x:c r="G63" s="135" t="n">
        <x:v>2024</x:v>
      </x:c>
      <x:c r="H63" s="138" t="n">
        <x:v>37200</x:v>
      </x:c>
      <x:c r="I63" s="141" t="n">
        <x:v>43286</x:v>
      </x:c>
      <x:c r="J63" s="129" t="str">
        <x:v>Sedan</x:v>
      </x:c>
      <x:c r="K63" s="129" t="str">
        <x:v>FWD</x:v>
      </x:c>
      <x:c r="L63" s="129" t="str">
        <x:v>2.0L I4 Hybrid</x:v>
      </x:c>
      <x:c r="M63" s="129" t="str">
        <x:v>Hybrid</x:v>
      </x:c>
      <x:c r="N63" s="129" t="str">
        <x:v>e-CVT</x:v>
      </x:c>
      <x:c r="O63" s="129" t="str">
        <x:v>Fair Deal</x:v>
      </x:c>
      <x:c r="P63" s="129" t="str">
        <x:v>11th Generation</x:v>
      </x:c>
      <x:c r="Q63" s="144" t="str"/>
    </x:row>
    <x:row r="64">
      <x:c r="A64" s="129" t="str">
        <x:v>ACCH_023</x:v>
      </x:c>
      <x:c r="B64" s="132" t="n">
        <x:v>46233</x:v>
      </x:c>
      <x:c r="C64" s="129" t="str">
        <x:v>Lindsay</x:v>
      </x:c>
      <x:c r="D64" s="129" t="str">
        <x:v>Honda</x:v>
      </x:c>
      <x:c r="E64" s="129" t="str">
        <x:v>Accord Hybrid</x:v>
      </x:c>
      <x:c r="F64" s="129" t="str">
        <x:v>Touring</x:v>
      </x:c>
      <x:c r="G64" s="135" t="n">
        <x:v>2023</x:v>
      </x:c>
      <x:c r="H64" s="138" t="n">
        <x:v>35990</x:v>
      </x:c>
      <x:c r="I64" s="141" t="n">
        <x:v>32235</x:v>
      </x:c>
      <x:c r="J64" s="129" t="str">
        <x:v>Sedan</x:v>
      </x:c>
      <x:c r="K64" s="129" t="str">
        <x:v>FWD</x:v>
      </x:c>
      <x:c r="L64" s="129" t="str">
        <x:v>2.0L I4 Hybrid</x:v>
      </x:c>
      <x:c r="M64" s="129" t="str">
        <x:v>Hybrid</x:v>
      </x:c>
      <x:c r="N64" s="129" t="str">
        <x:v>e-CVT</x:v>
      </x:c>
      <x:c r="O64" s="129" t="str">
        <x:v>Fair Deal</x:v>
      </x:c>
      <x:c r="P64" s="129" t="str">
        <x:v>11th Generation</x:v>
      </x:c>
      <x:c r="Q64" s="144" t="str"/>
    </x:row>
    <x:row r="65">
      <x:c r="A65" s="129" t="str">
        <x:v>ACCH_024</x:v>
      </x:c>
      <x:c r="B65" s="132" t="n">
        <x:v>46233</x:v>
      </x:c>
      <x:c r="C65" s="129" t="str">
        <x:v>Scarborough</x:v>
      </x:c>
      <x:c r="D65" s="129" t="str">
        <x:v>Honda</x:v>
      </x:c>
      <x:c r="E65" s="129" t="str">
        <x:v>Accord Hybrid</x:v>
      </x:c>
      <x:c r="F65" s="129" t="str">
        <x:v>Touring</x:v>
      </x:c>
      <x:c r="G65" s="135" t="n">
        <x:v>2024</x:v>
      </x:c>
      <x:c r="H65" s="138" t="n">
        <x:v>38290</x:v>
      </x:c>
      <x:c r="I65" s="141" t="n">
        <x:v>23803</x:v>
      </x:c>
      <x:c r="J65" s="129" t="str">
        <x:v>Sedan</x:v>
      </x:c>
      <x:c r="K65" s="129" t="str">
        <x:v>FWD</x:v>
      </x:c>
      <x:c r="L65" s="129" t="str">
        <x:v>2.0L I4 Hybrid</x:v>
      </x:c>
      <x:c r="M65" s="129" t="str">
        <x:v>Hybrid</x:v>
      </x:c>
      <x:c r="N65" s="129" t="str">
        <x:v>e-CVT</x:v>
      </x:c>
      <x:c r="O65" s="129" t="str">
        <x:v>Fair Deal</x:v>
      </x:c>
      <x:c r="P65" s="129" t="str">
        <x:v>11th Generation</x:v>
      </x:c>
      <x:c r="Q65" s="144" t="str">
        <x:v>Certified Pre-Owned</x:v>
      </x:c>
    </x:row>
    <x:row r="66">
      <x:c r="A66" s="129" t="str">
        <x:v>SONA_001</x:v>
      </x:c>
      <x:c r="B66" s="132" t="n">
        <x:v>46233</x:v>
      </x:c>
      <x:c r="C66" s="129" t="str">
        <x:v>Not recorded</x:v>
      </x:c>
      <x:c r="D66" s="129" t="str">
        <x:v>Hyundai</x:v>
      </x:c>
      <x:c r="E66" s="129" t="str">
        <x:v>Sonata</x:v>
      </x:c>
      <x:c r="F66" s="129" t="str">
        <x:v>Preferred Trend</x:v>
      </x:c>
      <x:c r="G66" s="135" t="n">
        <x:v>2025</x:v>
      </x:c>
      <x:c r="H66" s="138" t="n">
        <x:v>24990</x:v>
      </x:c>
      <x:c r="I66" s="141" t="n">
        <x:v>35815</x:v>
      </x:c>
      <x:c r="J66" s="129" t="str">
        <x:v>Sedan</x:v>
      </x:c>
      <x:c r="K66" s="129" t="str">
        <x:v>FWD</x:v>
      </x:c>
      <x:c r="L66" s="129" t="str">
        <x:v>2.5L GDI + MPI I4</x:v>
      </x:c>
      <x:c r="M66" s="129" t="str">
        <x:v>Gasoline</x:v>
      </x:c>
      <x:c r="N66" s="129" t="str">
        <x:v>8-speed automatic</x:v>
      </x:c>
      <x:c r="O66" s="129" t="str">
        <x:v>Great Deal</x:v>
      </x:c>
      <x:c r="P66" s="129" t="str">
        <x:v>8th Generation Facelift</x:v>
      </x:c>
      <x:c r="Q66" s="144" t="str">
        <x:v>Price reduced by $800</x:v>
      </x:c>
    </x:row>
    <x:row r="67">
      <x:c r="A67" s="129" t="str">
        <x:v>SONA_002</x:v>
      </x:c>
      <x:c r="B67" s="132" t="n">
        <x:v>46233</x:v>
      </x:c>
      <x:c r="C67" s="129" t="str">
        <x:v>Mississauga</x:v>
      </x:c>
      <x:c r="D67" s="129" t="str">
        <x:v>Hyundai</x:v>
      </x:c>
      <x:c r="E67" s="129" t="str">
        <x:v>Sonata</x:v>
      </x:c>
      <x:c r="F67" s="129" t="str">
        <x:v>Preferred Trend</x:v>
      </x:c>
      <x:c r="G67" s="135" t="n">
        <x:v>2025</x:v>
      </x:c>
      <x:c r="H67" s="138" t="n">
        <x:v>27995</x:v>
      </x:c>
      <x:c r="I67" s="141" t="n">
        <x:v>41030</x:v>
      </x:c>
      <x:c r="J67" s="129" t="str">
        <x:v>Sedan</x:v>
      </x:c>
      <x:c r="K67" s="129" t="str">
        <x:v>FWD</x:v>
      </x:c>
      <x:c r="L67" s="129" t="str">
        <x:v>2.5L GDI + MPI I4</x:v>
      </x:c>
      <x:c r="M67" s="129" t="str">
        <x:v>Gasoline</x:v>
      </x:c>
      <x:c r="N67" s="129" t="str">
        <x:v>8-speed automatic</x:v>
      </x:c>
      <x:c r="O67" s="129" t="str">
        <x:v>Good Deal</x:v>
      </x:c>
      <x:c r="P67" s="129" t="str">
        <x:v>8th Generation Facelift</x:v>
      </x:c>
      <x:c r="Q67" s="144" t="str">
        <x:v>Price reduced by $1,000</x:v>
      </x:c>
    </x:row>
    <x:row r="68">
      <x:c r="A68" s="129" t="str">
        <x:v>SONA_003</x:v>
      </x:c>
      <x:c r="B68" s="132" t="n">
        <x:v>46233</x:v>
      </x:c>
      <x:c r="C68" s="129" t="str">
        <x:v>North York</x:v>
      </x:c>
      <x:c r="D68" s="129" t="str">
        <x:v>Hyundai</x:v>
      </x:c>
      <x:c r="E68" s="129" t="str">
        <x:v>Sonata</x:v>
      </x:c>
      <x:c r="F68" s="129" t="str">
        <x:v>Preferred Trend</x:v>
      </x:c>
      <x:c r="G68" s="135" t="n">
        <x:v>2024</x:v>
      </x:c>
      <x:c r="H68" s="138" t="n">
        <x:v>27450</x:v>
      </x:c>
      <x:c r="I68" s="141" t="n">
        <x:v>52000</x:v>
      </x:c>
      <x:c r="J68" s="129" t="str">
        <x:v>Sedan</x:v>
      </x:c>
      <x:c r="K68" s="129" t="str">
        <x:v>FWD</x:v>
      </x:c>
      <x:c r="L68" s="129" t="str">
        <x:v>2.5L GDI + MPI I4</x:v>
      </x:c>
      <x:c r="M68" s="129" t="str">
        <x:v>Gasoline</x:v>
      </x:c>
      <x:c r="N68" s="129" t="str">
        <x:v>8-speed automatic</x:v>
      </x:c>
      <x:c r="O68" s="129" t="str">
        <x:v>Fair Deal</x:v>
      </x:c>
      <x:c r="P68" s="129" t="str">
        <x:v>8th Generation Facelift</x:v>
      </x:c>
      <x:c r="Q68" s="144" t="str"/>
    </x:row>
    <x:row r="69">
      <x:c r="A69" s="129" t="str">
        <x:v>SONA_004</x:v>
      </x:c>
      <x:c r="B69" s="132" t="n">
        <x:v>46233</x:v>
      </x:c>
      <x:c r="C69" s="129" t="str">
        <x:v>Etobicoke</x:v>
      </x:c>
      <x:c r="D69" s="129" t="str">
        <x:v>Hyundai</x:v>
      </x:c>
      <x:c r="E69" s="129" t="str">
        <x:v>Sonata</x:v>
      </x:c>
      <x:c r="F69" s="129" t="str">
        <x:v>Preferred Trend</x:v>
      </x:c>
      <x:c r="G69" s="135" t="n">
        <x:v>2025</x:v>
      </x:c>
      <x:c r="H69" s="138" t="n">
        <x:v>30500</x:v>
      </x:c>
      <x:c r="I69" s="141" t="n">
        <x:v>17164</x:v>
      </x:c>
      <x:c r="J69" s="129" t="str">
        <x:v>Sedan</x:v>
      </x:c>
      <x:c r="K69" s="129" t="str">
        <x:v>AWD</x:v>
      </x:c>
      <x:c r="L69" s="129" t="str">
        <x:v>2.5L GDI + MPI I4</x:v>
      </x:c>
      <x:c r="M69" s="129" t="str">
        <x:v>Gasoline</x:v>
      </x:c>
      <x:c r="N69" s="129" t="str">
        <x:v>8-speed automatic</x:v>
      </x:c>
      <x:c r="O69" s="129" t="str">
        <x:v>Good Deal</x:v>
      </x:c>
      <x:c r="P69" s="129" t="str">
        <x:v>8th Generation Facelift</x:v>
      </x:c>
      <x:c r="Q69" s="144" t="str">
        <x:v>Price reduced by $1,588</x:v>
      </x:c>
    </x:row>
    <x:row r="70">
      <x:c r="A70" s="129" t="str">
        <x:v>SONA_005</x:v>
      </x:c>
      <x:c r="B70" s="132" t="n">
        <x:v>46233</x:v>
      </x:c>
      <x:c r="C70" s="129" t="str">
        <x:v>Mississauga</x:v>
      </x:c>
      <x:c r="D70" s="129" t="str">
        <x:v>Hyundai</x:v>
      </x:c>
      <x:c r="E70" s="129" t="str">
        <x:v>Sonata</x:v>
      </x:c>
      <x:c r="F70" s="129" t="str">
        <x:v>Preferred Trend</x:v>
      </x:c>
      <x:c r="G70" s="135" t="n">
        <x:v>2025</x:v>
      </x:c>
      <x:c r="H70" s="138" t="n">
        <x:v>28995</x:v>
      </x:c>
      <x:c r="I70" s="141" t="n">
        <x:v>47328</x:v>
      </x:c>
      <x:c r="J70" s="129" t="str">
        <x:v>Sedan</x:v>
      </x:c>
      <x:c r="K70" s="129" t="str">
        <x:v>AWD</x:v>
      </x:c>
      <x:c r="L70" s="129" t="str">
        <x:v>2.5L GDI + MPI I4</x:v>
      </x:c>
      <x:c r="M70" s="129" t="str">
        <x:v>Gasoline</x:v>
      </x:c>
      <x:c r="N70" s="129" t="str">
        <x:v>8-speed automatic</x:v>
      </x:c>
      <x:c r="O70" s="129" t="str">
        <x:v>Good Deal</x:v>
      </x:c>
      <x:c r="P70" s="129" t="str">
        <x:v>8th Generation Facelift</x:v>
      </x:c>
      <x:c r="Q70" s="144" t="str"/>
    </x:row>
    <x:row r="71">
      <x:c r="A71" s="129" t="str">
        <x:v>SONA_006</x:v>
      </x:c>
      <x:c r="B71" s="132" t="n">
        <x:v>46233</x:v>
      </x:c>
      <x:c r="C71" s="129" t="str">
        <x:v>Brampton</x:v>
      </x:c>
      <x:c r="D71" s="129" t="str">
        <x:v>Hyundai</x:v>
      </x:c>
      <x:c r="E71" s="129" t="str">
        <x:v>Sonata</x:v>
      </x:c>
      <x:c r="F71" s="129" t="str">
        <x:v>Preferred Trend</x:v>
      </x:c>
      <x:c r="G71" s="135" t="n">
        <x:v>2024</x:v>
      </x:c>
      <x:c r="H71" s="138" t="n">
        <x:v>27999</x:v>
      </x:c>
      <x:c r="I71" s="141" t="n">
        <x:v>24826</x:v>
      </x:c>
      <x:c r="J71" s="129" t="str">
        <x:v>Sedan</x:v>
      </x:c>
      <x:c r="K71" s="129" t="str">
        <x:v>FWD</x:v>
      </x:c>
      <x:c r="L71" s="129" t="str">
        <x:v>2.5L GDI + MPI I4</x:v>
      </x:c>
      <x:c r="M71" s="129" t="str">
        <x:v>Gasoline</x:v>
      </x:c>
      <x:c r="N71" s="129" t="str">
        <x:v>8-speed automatic</x:v>
      </x:c>
      <x:c r="O71" s="129" t="str">
        <x:v>Good Deal</x:v>
      </x:c>
      <x:c r="P71" s="129" t="str">
        <x:v>8th Generation Facelift</x:v>
      </x:c>
      <x:c r="Q71" s="144" t="str"/>
    </x:row>
    <x:row r="72">
      <x:c r="A72" s="129" t="str">
        <x:v>SONA_007</x:v>
      </x:c>
      <x:c r="B72" s="132" t="n">
        <x:v>46233</x:v>
      </x:c>
      <x:c r="C72" s="129" t="str">
        <x:v>Burlington</x:v>
      </x:c>
      <x:c r="D72" s="129" t="str">
        <x:v>Hyundai</x:v>
      </x:c>
      <x:c r="E72" s="129" t="str">
        <x:v>Sonata</x:v>
      </x:c>
      <x:c r="F72" s="129" t="str">
        <x:v>Preferred Trend</x:v>
      </x:c>
      <x:c r="G72" s="135" t="n">
        <x:v>2024</x:v>
      </x:c>
      <x:c r="H72" s="138" t="n">
        <x:v>26998</x:v>
      </x:c>
      <x:c r="I72" s="141" t="n">
        <x:v>38029</x:v>
      </x:c>
      <x:c r="J72" s="129" t="str">
        <x:v>Sedan</x:v>
      </x:c>
      <x:c r="K72" s="129" t="str">
        <x:v>FWD</x:v>
      </x:c>
      <x:c r="L72" s="129" t="str">
        <x:v>2.5L GDI + MPI I4</x:v>
      </x:c>
      <x:c r="M72" s="129" t="str">
        <x:v>Gasoline</x:v>
      </x:c>
      <x:c r="N72" s="129" t="str">
        <x:v>8-speed automatic</x:v>
      </x:c>
      <x:c r="O72" s="129" t="str">
        <x:v>Good Deal</x:v>
      </x:c>
      <x:c r="P72" s="129" t="str">
        <x:v>8th Generation Facelift</x:v>
      </x:c>
      <x:c r="Q72" s="144" t="str"/>
    </x:row>
    <x:row r="73">
      <x:c r="A73" s="129" t="str">
        <x:v>SONA_008</x:v>
      </x:c>
      <x:c r="B73" s="132" t="n">
        <x:v>46233</x:v>
      </x:c>
      <x:c r="C73" s="129" t="str">
        <x:v>Mississauga</x:v>
      </x:c>
      <x:c r="D73" s="129" t="str">
        <x:v>Hyundai</x:v>
      </x:c>
      <x:c r="E73" s="129" t="str">
        <x:v>Sonata</x:v>
      </x:c>
      <x:c r="F73" s="129" t="str">
        <x:v>Preferred Trend</x:v>
      </x:c>
      <x:c r="G73" s="135" t="n">
        <x:v>2025</x:v>
      </x:c>
      <x:c r="H73" s="138" t="n">
        <x:v>30821</x:v>
      </x:c>
      <x:c r="I73" s="141" t="n">
        <x:v>8758</x:v>
      </x:c>
      <x:c r="J73" s="129" t="str">
        <x:v>Sedan</x:v>
      </x:c>
      <x:c r="K73" s="129" t="str">
        <x:v>AWD</x:v>
      </x:c>
      <x:c r="L73" s="129" t="str">
        <x:v>2.5L GDI + MPI I4</x:v>
      </x:c>
      <x:c r="M73" s="129" t="str">
        <x:v>Gasoline</x:v>
      </x:c>
      <x:c r="N73" s="129" t="str">
        <x:v>8-speed automatic</x:v>
      </x:c>
      <x:c r="O73" s="129" t="str">
        <x:v>Good Deal</x:v>
      </x:c>
      <x:c r="P73" s="129" t="str">
        <x:v>8th Generation Facelift</x:v>
      </x:c>
      <x:c r="Q73" s="144" t="str"/>
    </x:row>
    <x:row r="74">
      <x:c r="A74" s="129" t="str">
        <x:v>SONA_009</x:v>
      </x:c>
      <x:c r="B74" s="132" t="n">
        <x:v>46233</x:v>
      </x:c>
      <x:c r="C74" s="129" t="str">
        <x:v>Burlington</x:v>
      </x:c>
      <x:c r="D74" s="129" t="str">
        <x:v>Hyundai</x:v>
      </x:c>
      <x:c r="E74" s="129" t="str">
        <x:v>Sonata</x:v>
      </x:c>
      <x:c r="F74" s="129" t="str">
        <x:v>Preferred Trend</x:v>
      </x:c>
      <x:c r="G74" s="135" t="n">
        <x:v>2025</x:v>
      </x:c>
      <x:c r="H74" s="138" t="n">
        <x:v>27638</x:v>
      </x:c>
      <x:c r="I74" s="141" t="n">
        <x:v>42852</x:v>
      </x:c>
      <x:c r="J74" s="129" t="str">
        <x:v>Sedan</x:v>
      </x:c>
      <x:c r="K74" s="129" t="str">
        <x:v>FWD</x:v>
      </x:c>
      <x:c r="L74" s="129" t="str">
        <x:v>2.5L GDI + MPI I4</x:v>
      </x:c>
      <x:c r="M74" s="129" t="str">
        <x:v>Gasoline</x:v>
      </x:c>
      <x:c r="N74" s="129" t="str">
        <x:v>8-speed automatic</x:v>
      </x:c>
      <x:c r="O74" s="129" t="str">
        <x:v>Good Deal</x:v>
      </x:c>
      <x:c r="P74" s="129" t="str">
        <x:v>8th Generation Facelift</x:v>
      </x:c>
      <x:c r="Q74" s="144" t="str"/>
    </x:row>
    <x:row r="75">
      <x:c r="A75" s="129" t="str">
        <x:v>SONA_010</x:v>
      </x:c>
      <x:c r="B75" s="132" t="n">
        <x:v>46233</x:v>
      </x:c>
      <x:c r="C75" s="129" t="str">
        <x:v>Mississauga</x:v>
      </x:c>
      <x:c r="D75" s="129" t="str">
        <x:v>Hyundai</x:v>
      </x:c>
      <x:c r="E75" s="129" t="str">
        <x:v>Sonata</x:v>
      </x:c>
      <x:c r="F75" s="129" t="str">
        <x:v>Preferred Trend</x:v>
      </x:c>
      <x:c r="G75" s="135" t="n">
        <x:v>2025</x:v>
      </x:c>
      <x:c r="H75" s="138" t="n">
        <x:v>30821</x:v>
      </x:c>
      <x:c r="I75" s="141" t="n">
        <x:v>7018</x:v>
      </x:c>
      <x:c r="J75" s="129" t="str">
        <x:v>Sedan</x:v>
      </x:c>
      <x:c r="K75" s="129" t="str">
        <x:v>AWD</x:v>
      </x:c>
      <x:c r="L75" s="129" t="str">
        <x:v>2.5L GDI + MPI I4</x:v>
      </x:c>
      <x:c r="M75" s="129" t="str">
        <x:v>Gasoline</x:v>
      </x:c>
      <x:c r="N75" s="129" t="str">
        <x:v>8-speed automatic</x:v>
      </x:c>
      <x:c r="O75" s="129" t="str">
        <x:v>Good Deal</x:v>
      </x:c>
      <x:c r="P75" s="129" t="str">
        <x:v>8th Generation Facelift</x:v>
      </x:c>
      <x:c r="Q75" s="144" t="str"/>
    </x:row>
    <x:row r="76">
      <x:c r="A76" s="129" t="str">
        <x:v>SONA_011</x:v>
      </x:c>
      <x:c r="B76" s="132" t="n">
        <x:v>46233</x:v>
      </x:c>
      <x:c r="C76" s="129" t="str">
        <x:v>Newmarket</x:v>
      </x:c>
      <x:c r="D76" s="129" t="str">
        <x:v>Hyundai</x:v>
      </x:c>
      <x:c r="E76" s="129" t="str">
        <x:v>Sonata</x:v>
      </x:c>
      <x:c r="F76" s="129" t="str">
        <x:v>Preferred Trend</x:v>
      </x:c>
      <x:c r="G76" s="135" t="n">
        <x:v>2025</x:v>
      </x:c>
      <x:c r="H76" s="138" t="n">
        <x:v>29999</x:v>
      </x:c>
      <x:c r="I76" s="141" t="n">
        <x:v>11363</x:v>
      </x:c>
      <x:c r="J76" s="129" t="str">
        <x:v>Sedan</x:v>
      </x:c>
      <x:c r="K76" s="129" t="str">
        <x:v>FWD</x:v>
      </x:c>
      <x:c r="L76" s="129" t="str">
        <x:v>2.5L GDI + MPI I4</x:v>
      </x:c>
      <x:c r="M76" s="129" t="str">
        <x:v>Gasoline</x:v>
      </x:c>
      <x:c r="N76" s="129" t="str">
        <x:v>8-speed automatic</x:v>
      </x:c>
      <x:c r="O76" s="129" t="str">
        <x:v>Good Deal</x:v>
      </x:c>
      <x:c r="P76" s="129" t="str">
        <x:v>8th Generation Facelift</x:v>
      </x:c>
      <x:c r="Q76" s="144" t="str">
        <x:v>Price reduced by $889</x:v>
      </x:c>
    </x:row>
    <x:row r="77">
      <x:c r="A77" s="129" t="str">
        <x:v>SONA_012</x:v>
      </x:c>
      <x:c r="B77" s="132" t="n">
        <x:v>46233</x:v>
      </x:c>
      <x:c r="C77" s="129" t="str">
        <x:v>Brampton</x:v>
      </x:c>
      <x:c r="D77" s="129" t="str">
        <x:v>Hyundai</x:v>
      </x:c>
      <x:c r="E77" s="129" t="str">
        <x:v>Sonata</x:v>
      </x:c>
      <x:c r="F77" s="129" t="str">
        <x:v>Preferred Trend</x:v>
      </x:c>
      <x:c r="G77" s="135" t="n">
        <x:v>2025</x:v>
      </x:c>
      <x:c r="H77" s="138" t="n">
        <x:v>28800</x:v>
      </x:c>
      <x:c r="I77" s="141" t="n">
        <x:v>53390</x:v>
      </x:c>
      <x:c r="J77" s="129" t="str">
        <x:v>Sedan</x:v>
      </x:c>
      <x:c r="K77" s="129" t="str">
        <x:v>FWD</x:v>
      </x:c>
      <x:c r="L77" s="129" t="str">
        <x:v>2.5L GDI + MPI I4</x:v>
      </x:c>
      <x:c r="M77" s="129" t="str">
        <x:v>Gasoline</x:v>
      </x:c>
      <x:c r="N77" s="129" t="str">
        <x:v>8-speed automatic</x:v>
      </x:c>
      <x:c r="O77" s="129" t="str">
        <x:v>Fair Deal</x:v>
      </x:c>
      <x:c r="P77" s="129" t="str">
        <x:v>8th Generation Facelift</x:v>
      </x:c>
      <x:c r="Q77" s="144" t="str"/>
    </x:row>
    <x:row r="78">
      <x:c r="A78" s="129" t="str">
        <x:v>SONA_013</x:v>
      </x:c>
      <x:c r="B78" s="132" t="n">
        <x:v>46233</x:v>
      </x:c>
      <x:c r="C78" s="129" t="str">
        <x:v>Etobicoke</x:v>
      </x:c>
      <x:c r="D78" s="129" t="str">
        <x:v>Hyundai</x:v>
      </x:c>
      <x:c r="E78" s="129" t="str">
        <x:v>Sonata</x:v>
      </x:c>
      <x:c r="F78" s="129" t="str">
        <x:v>Preferred Trend</x:v>
      </x:c>
      <x:c r="G78" s="135" t="n">
        <x:v>2025</x:v>
      </x:c>
      <x:c r="H78" s="138" t="n">
        <x:v>31000</x:v>
      </x:c>
      <x:c r="I78" s="141" t="n">
        <x:v>20374</x:v>
      </x:c>
      <x:c r="J78" s="129" t="str">
        <x:v>Sedan</x:v>
      </x:c>
      <x:c r="K78" s="129" t="str">
        <x:v>AWD</x:v>
      </x:c>
      <x:c r="L78" s="129" t="str">
        <x:v>2.5L GDI + MPI I4</x:v>
      </x:c>
      <x:c r="M78" s="129" t="str">
        <x:v>Gasoline</x:v>
      </x:c>
      <x:c r="N78" s="129" t="str">
        <x:v>8-speed automatic</x:v>
      </x:c>
      <x:c r="O78" s="129" t="str">
        <x:v>Fair Deal</x:v>
      </x:c>
      <x:c r="P78" s="129" t="str">
        <x:v>8th Generation Facelift</x:v>
      </x:c>
      <x:c r="Q78" s="144" t="str">
        <x:v>Price reduced by $1,088</x:v>
      </x:c>
    </x:row>
    <x:row r="79">
      <x:c r="A79" s="129" t="str">
        <x:v>SONA_014</x:v>
      </x:c>
      <x:c r="B79" s="132" t="n">
        <x:v>46233</x:v>
      </x:c>
      <x:c r="C79" s="129" t="str">
        <x:v>Waterloo</x:v>
      </x:c>
      <x:c r="D79" s="129" t="str">
        <x:v>Hyundai</x:v>
      </x:c>
      <x:c r="E79" s="129" t="str">
        <x:v>Sonata</x:v>
      </x:c>
      <x:c r="F79" s="129" t="str">
        <x:v>Preferred Trend</x:v>
      </x:c>
      <x:c r="G79" s="135" t="n">
        <x:v>2025</x:v>
      </x:c>
      <x:c r="H79" s="138" t="n">
        <x:v>29970</x:v>
      </x:c>
      <x:c r="I79" s="141" t="n">
        <x:v>34047</x:v>
      </x:c>
      <x:c r="J79" s="129" t="str">
        <x:v>Sedan</x:v>
      </x:c>
      <x:c r="K79" s="129" t="str">
        <x:v>FWD</x:v>
      </x:c>
      <x:c r="L79" s="129" t="str">
        <x:v>2.5L GDI + MPI I4</x:v>
      </x:c>
      <x:c r="M79" s="129" t="str">
        <x:v>Gasoline</x:v>
      </x:c>
      <x:c r="N79" s="129" t="str">
        <x:v>8-speed automatic</x:v>
      </x:c>
      <x:c r="O79" s="129" t="str">
        <x:v>Fair Deal</x:v>
      </x:c>
      <x:c r="P79" s="129" t="str">
        <x:v>8th Generation Facelift</x:v>
      </x:c>
      <x:c r="Q79" s="144" t="str"/>
    </x:row>
    <x:row r="80">
      <x:c r="A80" s="129" t="str">
        <x:v>SONA_015</x:v>
      </x:c>
      <x:c r="B80" s="132" t="n">
        <x:v>46233</x:v>
      </x:c>
      <x:c r="C80" s="129" t="str">
        <x:v>Mississauga</x:v>
      </x:c>
      <x:c r="D80" s="129" t="str">
        <x:v>Hyundai</x:v>
      </x:c>
      <x:c r="E80" s="129" t="str">
        <x:v>Sonata</x:v>
      </x:c>
      <x:c r="F80" s="129" t="str">
        <x:v>Preferred Trend</x:v>
      </x:c>
      <x:c r="G80" s="135" t="n">
        <x:v>2025</x:v>
      </x:c>
      <x:c r="H80" s="138" t="n">
        <x:v>28821</x:v>
      </x:c>
      <x:c r="I80" s="141" t="n">
        <x:v>131725</x:v>
      </x:c>
      <x:c r="J80" s="129" t="str">
        <x:v>Sedan</x:v>
      </x:c>
      <x:c r="K80" s="129" t="str">
        <x:v>AWD</x:v>
      </x:c>
      <x:c r="L80" s="129" t="str">
        <x:v>2.5L GDI + MPI I4</x:v>
      </x:c>
      <x:c r="M80" s="129" t="str">
        <x:v>Gasoline</x:v>
      </x:c>
      <x:c r="N80" s="129" t="str">
        <x:v>8-speed automatic</x:v>
      </x:c>
      <x:c r="O80" s="129" t="str">
        <x:v>Fair Deal</x:v>
      </x:c>
      <x:c r="P80" s="129" t="str">
        <x:v>8th Generation Facelift</x:v>
      </x:c>
      <x:c r="Q80" s="144" t="str">
        <x:v>Unusually high mileage</x:v>
      </x:c>
    </x:row>
    <x:row r="81">
      <x:c r="A81" s="129" t="str">
        <x:v>SONA_016</x:v>
      </x:c>
      <x:c r="B81" s="132" t="n">
        <x:v>46233</x:v>
      </x:c>
      <x:c r="C81" s="129" t="str">
        <x:v>London</x:v>
      </x:c>
      <x:c r="D81" s="129" t="str">
        <x:v>Hyundai</x:v>
      </x:c>
      <x:c r="E81" s="129" t="str">
        <x:v>Sonata</x:v>
      </x:c>
      <x:c r="F81" s="129" t="str">
        <x:v>Preferred Trend</x:v>
      </x:c>
      <x:c r="G81" s="135" t="n">
        <x:v>2024</x:v>
      </x:c>
      <x:c r="H81" s="138" t="n">
        <x:v>29995</x:v>
      </x:c>
      <x:c r="I81" s="141" t="n">
        <x:v>39808</x:v>
      </x:c>
      <x:c r="J81" s="129" t="str">
        <x:v>Sedan</x:v>
      </x:c>
      <x:c r="K81" s="129" t="str">
        <x:v>FWD</x:v>
      </x:c>
      <x:c r="L81" s="129" t="str">
        <x:v>2.5L GDI + MPI I4</x:v>
      </x:c>
      <x:c r="M81" s="129" t="str">
        <x:v>Gasoline</x:v>
      </x:c>
      <x:c r="N81" s="129" t="str">
        <x:v>8-speed automatic</x:v>
      </x:c>
      <x:c r="O81" s="129" t="str">
        <x:v>Fair Deal</x:v>
      </x:c>
      <x:c r="P81" s="129" t="str">
        <x:v>8th Generation Facelift</x:v>
      </x:c>
      <x:c r="Q81" s="144" t="str"/>
    </x:row>
    <x:row r="82">
      <x:c r="A82" s="129" t="str">
        <x:v>SONA_017</x:v>
      </x:c>
      <x:c r="B82" s="132" t="n">
        <x:v>46233</x:v>
      </x:c>
      <x:c r="C82" s="129" t="str">
        <x:v>Cambridge</x:v>
      </x:c>
      <x:c r="D82" s="129" t="str">
        <x:v>Hyundai</x:v>
      </x:c>
      <x:c r="E82" s="129" t="str">
        <x:v>Sonata</x:v>
      </x:c>
      <x:c r="F82" s="129" t="str">
        <x:v>Preferred Trend</x:v>
      </x:c>
      <x:c r="G82" s="135" t="n">
        <x:v>2025</x:v>
      </x:c>
      <x:c r="H82" s="138" t="n">
        <x:v>32690</x:v>
      </x:c>
      <x:c r="I82" s="141" t="n">
        <x:v>18943</x:v>
      </x:c>
      <x:c r="J82" s="129" t="str">
        <x:v>Sedan</x:v>
      </x:c>
      <x:c r="K82" s="129" t="str">
        <x:v>AWD</x:v>
      </x:c>
      <x:c r="L82" s="129" t="str">
        <x:v>2.5L GDI + MPI I4</x:v>
      </x:c>
      <x:c r="M82" s="129" t="str">
        <x:v>Gasoline</x:v>
      </x:c>
      <x:c r="N82" s="129" t="str">
        <x:v>8-speed automatic</x:v>
      </x:c>
      <x:c r="O82" s="129" t="str">
        <x:v>Fair Deal</x:v>
      </x:c>
      <x:c r="P82" s="129" t="str">
        <x:v>8th Generation Facelift</x:v>
      </x:c>
      <x:c r="Q82" s="144" t="str">
        <x:v>Certified Pre-Owned</x:v>
      </x:c>
    </x:row>
    <x:row r="83">
      <x:c r="A83" s="129" t="str">
        <x:v>SONN_001</x:v>
      </x:c>
      <x:c r="B83" s="132" t="n">
        <x:v>46233</x:v>
      </x:c>
      <x:c r="C83" s="129" t="str">
        <x:v>Huntsville</x:v>
      </x:c>
      <x:c r="D83" s="129" t="str">
        <x:v>Hyundai</x:v>
      </x:c>
      <x:c r="E83" s="129" t="str">
        <x:v>Sonata N Line</x:v>
      </x:c>
      <x:c r="F83" s="129" t="str">
        <x:v>N Line Ultimate</x:v>
      </x:c>
      <x:c r="G83" s="135" t="n">
        <x:v>2025</x:v>
      </x:c>
      <x:c r="H83" s="138" t="n">
        <x:v>33284</x:v>
      </x:c>
      <x:c r="I83" s="141" t="n">
        <x:v>7300</x:v>
      </x:c>
      <x:c r="J83" s="129" t="str">
        <x:v>Sedan</x:v>
      </x:c>
      <x:c r="K83" s="129" t="str">
        <x:v>FWD</x:v>
      </x:c>
      <x:c r="L83" s="129" t="str">
        <x:v>2.5L Turbo GDI I4</x:v>
      </x:c>
      <x:c r="M83" s="129" t="str">
        <x:v>Gasoline</x:v>
      </x:c>
      <x:c r="N83" s="129" t="str">
        <x:v>8-speed wet DCT</x:v>
      </x:c>
      <x:c r="O83" s="129" t="str">
        <x:v>Great Deal</x:v>
      </x:c>
      <x:c r="P83" s="129" t="str">
        <x:v>8th Generation Facelift</x:v>
      </x:c>
      <x:c r="Q83" s="144" t="str"/>
    </x:row>
    <x:row r="84">
      <x:c r="A84" s="129" t="str">
        <x:v>SONN_002</x:v>
      </x:c>
      <x:c r="B84" s="132" t="n">
        <x:v>46233</x:v>
      </x:c>
      <x:c r="C84" s="129" t="str">
        <x:v>Waterloo</x:v>
      </x:c>
      <x:c r="D84" s="129" t="str">
        <x:v>Hyundai</x:v>
      </x:c>
      <x:c r="E84" s="129" t="str">
        <x:v>Sonata N Line</x:v>
      </x:c>
      <x:c r="F84" s="129" t="str">
        <x:v>N Line Ultimate</x:v>
      </x:c>
      <x:c r="G84" s="135" t="n">
        <x:v>2024</x:v>
      </x:c>
      <x:c r="H84" s="138" t="n">
        <x:v>30732</x:v>
      </x:c>
      <x:c r="I84" s="141" t="n">
        <x:v>23835</x:v>
      </x:c>
      <x:c r="J84" s="129" t="str">
        <x:v>Sedan</x:v>
      </x:c>
      <x:c r="K84" s="129" t="str">
        <x:v>FWD</x:v>
      </x:c>
      <x:c r="L84" s="129" t="str">
        <x:v>2.5L Turbo GDI I4</x:v>
      </x:c>
      <x:c r="M84" s="129" t="str">
        <x:v>Gasoline</x:v>
      </x:c>
      <x:c r="N84" s="129" t="str">
        <x:v>8-speed wet DCT</x:v>
      </x:c>
      <x:c r="O84" s="129" t="str">
        <x:v>Great Deal</x:v>
      </x:c>
      <x:c r="P84" s="129" t="str">
        <x:v>8th Generation Facelift</x:v>
      </x:c>
      <x:c r="Q84" s="144" t="str"/>
    </x:row>
    <x:row r="85">
      <x:c r="A85" s="129" t="str">
        <x:v>SONN_003</x:v>
      </x:c>
      <x:c r="B85" s="132" t="n">
        <x:v>46233</x:v>
      </x:c>
      <x:c r="C85" s="129" t="str">
        <x:v>Stouffville</x:v>
      </x:c>
      <x:c r="D85" s="129" t="str">
        <x:v>Hyundai</x:v>
      </x:c>
      <x:c r="E85" s="129" t="str">
        <x:v>Sonata N Line</x:v>
      </x:c>
      <x:c r="F85" s="129" t="str">
        <x:v>N Line</x:v>
      </x:c>
      <x:c r="G85" s="135" t="n">
        <x:v>2026</x:v>
      </x:c>
      <x:c r="H85" s="138" t="n">
        <x:v>36590</x:v>
      </x:c>
      <x:c r="I85" s="141" t="n">
        <x:v>17984</x:v>
      </x:c>
      <x:c r="J85" s="129" t="str">
        <x:v>Sedan</x:v>
      </x:c>
      <x:c r="K85" s="129" t="str">
        <x:v>FWD</x:v>
      </x:c>
      <x:c r="L85" s="129" t="str">
        <x:v>2.5L Turbo GDI I4</x:v>
      </x:c>
      <x:c r="M85" s="129" t="str">
        <x:v>Gasoline</x:v>
      </x:c>
      <x:c r="N85" s="129" t="str">
        <x:v>8-speed wet DCT</x:v>
      </x:c>
      <x:c r="O85" s="129" t="str">
        <x:v>Great Deal</x:v>
      </x:c>
      <x:c r="P85" s="129" t="str">
        <x:v>8th Generation Facelift</x:v>
      </x:c>
      <x:c r="Q85" s="144" t="str"/>
    </x:row>
    <x:row r="86">
      <x:c r="A86" s="129" t="str">
        <x:v>SONN_004</x:v>
      </x:c>
      <x:c r="B86" s="132" t="n">
        <x:v>46233</x:v>
      </x:c>
      <x:c r="C86" s="129" t="str">
        <x:v>Guelph</x:v>
      </x:c>
      <x:c r="D86" s="129" t="str">
        <x:v>Hyundai</x:v>
      </x:c>
      <x:c r="E86" s="129" t="str">
        <x:v>Sonata N Line</x:v>
      </x:c>
      <x:c r="F86" s="129" t="str">
        <x:v>N Line</x:v>
      </x:c>
      <x:c r="G86" s="135" t="n">
        <x:v>2024</x:v>
      </x:c>
      <x:c r="H86" s="138" t="n">
        <x:v>28990</x:v>
      </x:c>
      <x:c r="I86" s="141" t="n">
        <x:v>46688</x:v>
      </x:c>
      <x:c r="J86" s="129" t="str">
        <x:v>Sedan</x:v>
      </x:c>
      <x:c r="K86" s="129" t="str">
        <x:v>FWD</x:v>
      </x:c>
      <x:c r="L86" s="129" t="str">
        <x:v>2.5L Turbo GDI I4</x:v>
      </x:c>
      <x:c r="M86" s="129" t="str">
        <x:v>Gasoline</x:v>
      </x:c>
      <x:c r="N86" s="129" t="str">
        <x:v>8-speed wet DCT</x:v>
      </x:c>
      <x:c r="O86" s="129" t="str">
        <x:v>Great Deal</x:v>
      </x:c>
      <x:c r="P86" s="129" t="str">
        <x:v>8th Generation Facelift</x:v>
      </x:c>
      <x:c r="Q86" s="144" t="str">
        <x:v>Price reduced by $1,001</x:v>
      </x:c>
    </x:row>
    <x:row r="87">
      <x:c r="A87" s="129" t="str">
        <x:v>SONN_005</x:v>
      </x:c>
      <x:c r="B87" s="132" t="n">
        <x:v>46233</x:v>
      </x:c>
      <x:c r="C87" s="129" t="str">
        <x:v>Cambridge</x:v>
      </x:c>
      <x:c r="D87" s="129" t="str">
        <x:v>Hyundai</x:v>
      </x:c>
      <x:c r="E87" s="129" t="str">
        <x:v>Sonata N Line</x:v>
      </x:c>
      <x:c r="F87" s="129" t="str">
        <x:v>N Line</x:v>
      </x:c>
      <x:c r="G87" s="135" t="n">
        <x:v>2024</x:v>
      </x:c>
      <x:c r="H87" s="138" t="n">
        <x:v>29995</x:v>
      </x:c>
      <x:c r="I87" s="141" t="n">
        <x:v>22000</x:v>
      </x:c>
      <x:c r="J87" s="129" t="str">
        <x:v>Sedan</x:v>
      </x:c>
      <x:c r="K87" s="129" t="str">
        <x:v>FWD</x:v>
      </x:c>
      <x:c r="L87" s="129" t="str">
        <x:v>2.5L Turbo GDI I4</x:v>
      </x:c>
      <x:c r="M87" s="129" t="str">
        <x:v>Gasoline</x:v>
      </x:c>
      <x:c r="N87" s="129" t="str">
        <x:v>8-speed wet DCT</x:v>
      </x:c>
      <x:c r="O87" s="129" t="str">
        <x:v>Great Deal</x:v>
      </x:c>
      <x:c r="P87" s="129" t="str">
        <x:v>8th Generation Facelift</x:v>
      </x:c>
      <x:c r="Q87" s="144" t="str"/>
    </x:row>
    <x:row r="88">
      <x:c r="A88" s="129" t="str">
        <x:v>SONN_006</x:v>
      </x:c>
      <x:c r="B88" s="132" t="n">
        <x:v>46233</x:v>
      </x:c>
      <x:c r="C88" s="129" t="str">
        <x:v>Mississauga</x:v>
      </x:c>
      <x:c r="D88" s="129" t="str">
        <x:v>Hyundai</x:v>
      </x:c>
      <x:c r="E88" s="129" t="str">
        <x:v>Sonata N Line</x:v>
      </x:c>
      <x:c r="F88" s="129" t="str">
        <x:v>N Line Ultimate</x:v>
      </x:c>
      <x:c r="G88" s="135" t="n">
        <x:v>2025</x:v>
      </x:c>
      <x:c r="H88" s="138" t="n">
        <x:v>34995</x:v>
      </x:c>
      <x:c r="I88" s="141" t="n">
        <x:v>9442</x:v>
      </x:c>
      <x:c r="J88" s="129" t="str">
        <x:v>Sedan</x:v>
      </x:c>
      <x:c r="K88" s="129" t="str">
        <x:v>FWD</x:v>
      </x:c>
      <x:c r="L88" s="129" t="str">
        <x:v>2.5L Turbo GDI I4</x:v>
      </x:c>
      <x:c r="M88" s="129" t="str">
        <x:v>Gasoline</x:v>
      </x:c>
      <x:c r="N88" s="129" t="str">
        <x:v>8-speed wet DCT</x:v>
      </x:c>
      <x:c r="O88" s="129" t="str">
        <x:v>Good Deal</x:v>
      </x:c>
      <x:c r="P88" s="129" t="str">
        <x:v>8th Generation Facelift</x:v>
      </x:c>
      <x:c r="Q88" s="144" t="str"/>
    </x:row>
    <x:row r="89">
      <x:c r="A89" s="129" t="str">
        <x:v>SONN_007</x:v>
      </x:c>
      <x:c r="B89" s="132" t="n">
        <x:v>46233</x:v>
      </x:c>
      <x:c r="C89" s="129" t="str">
        <x:v>Exeter</x:v>
      </x:c>
      <x:c r="D89" s="129" t="str">
        <x:v>Hyundai</x:v>
      </x:c>
      <x:c r="E89" s="129" t="str">
        <x:v>Sonata N Line</x:v>
      </x:c>
      <x:c r="F89" s="129" t="str">
        <x:v>N Line</x:v>
      </x:c>
      <x:c r="G89" s="135" t="n">
        <x:v>2025</x:v>
      </x:c>
      <x:c r="H89" s="138" t="n">
        <x:v>25797</x:v>
      </x:c>
      <x:c r="I89" s="141" t="n">
        <x:v>67444</x:v>
      </x:c>
      <x:c r="J89" s="129" t="str">
        <x:v>Sedan</x:v>
      </x:c>
      <x:c r="K89" s="129" t="str">
        <x:v>FWD</x:v>
      </x:c>
      <x:c r="L89" s="129" t="str">
        <x:v>2.5L Turbo GDI I4</x:v>
      </x:c>
      <x:c r="M89" s="129" t="str">
        <x:v>Gasoline</x:v>
      </x:c>
      <x:c r="N89" s="129" t="str">
        <x:v>8-speed wet DCT</x:v>
      </x:c>
      <x:c r="O89" s="129" t="str">
        <x:v>Good Deal</x:v>
      </x:c>
      <x:c r="P89" s="129" t="str">
        <x:v>8th Generation Facelift</x:v>
      </x:c>
      <x:c r="Q89" s="144" t="str"/>
    </x:row>
    <x:row r="90">
      <x:c r="A90" s="129" t="str">
        <x:v>CAMH_001</x:v>
      </x:c>
      <x:c r="B90" s="132" t="n">
        <x:v>46233</x:v>
      </x:c>
      <x:c r="C90" s="129" t="str">
        <x:v>Kitchener</x:v>
      </x:c>
      <x:c r="D90" s="129" t="str">
        <x:v>Toyota</x:v>
      </x:c>
      <x:c r="E90" s="129" t="str">
        <x:v>Camry Hybrid</x:v>
      </x:c>
      <x:c r="F90" s="129" t="str">
        <x:v>SE</x:v>
      </x:c>
      <x:c r="G90" s="135" t="n">
        <x:v>2022</x:v>
      </x:c>
      <x:c r="H90" s="138" t="n">
        <x:v>26880</x:v>
      </x:c>
      <x:c r="I90" s="141" t="n">
        <x:v>148937</x:v>
      </x:c>
      <x:c r="J90" s="129" t="str">
        <x:v>Sedan</x:v>
      </x:c>
      <x:c r="K90" s="129" t="str">
        <x:v>FWD</x:v>
      </x:c>
      <x:c r="L90" s="129" t="str">
        <x:v>2.5L I4 Hybrid</x:v>
      </x:c>
      <x:c r="M90" s="129" t="str">
        <x:v>Hybrid</x:v>
      </x:c>
      <x:c r="N90" s="129" t="str">
        <x:v>e-CVT</x:v>
      </x:c>
      <x:c r="O90" s="129" t="str">
        <x:v>Fair Deal</x:v>
      </x:c>
      <x:c r="P90" s="129" t="str">
        <x:v>8th Generation XV70</x:v>
      </x:c>
      <x:c r="Q90" s="144" t="str">
        <x:v>High mileage</x:v>
      </x:c>
    </x:row>
    <x:row r="91">
      <x:c r="A91" s="129" t="str">
        <x:v>CAMH_002</x:v>
      </x:c>
      <x:c r="B91" s="132" t="n">
        <x:v>46233</x:v>
      </x:c>
      <x:c r="C91" s="129" t="str">
        <x:v>Cambridge</x:v>
      </x:c>
      <x:c r="D91" s="129" t="str">
        <x:v>Toyota</x:v>
      </x:c>
      <x:c r="E91" s="129" t="str">
        <x:v>Camry Hybrid</x:v>
      </x:c>
      <x:c r="F91" s="129" t="str">
        <x:v>SE</x:v>
      </x:c>
      <x:c r="G91" s="135" t="n">
        <x:v>2022</x:v>
      </x:c>
      <x:c r="H91" s="138" t="n">
        <x:v>28995</x:v>
      </x:c>
      <x:c r="I91" s="141" t="n">
        <x:v>96566</x:v>
      </x:c>
      <x:c r="J91" s="129" t="str">
        <x:v>Sedan</x:v>
      </x:c>
      <x:c r="K91" s="129" t="str">
        <x:v>FWD</x:v>
      </x:c>
      <x:c r="L91" s="129" t="str">
        <x:v>2.5L I4 Hybrid</x:v>
      </x:c>
      <x:c r="M91" s="129" t="str">
        <x:v>Hybrid</x:v>
      </x:c>
      <x:c r="N91" s="129" t="str">
        <x:v>e-CVT</x:v>
      </x:c>
      <x:c r="O91" s="129" t="str">
        <x:v>Good Deal</x:v>
      </x:c>
      <x:c r="P91" s="129" t="str">
        <x:v>8th Generation XV70</x:v>
      </x:c>
      <x:c r="Q91" s="144" t="str"/>
    </x:row>
    <x:row r="92">
      <x:c r="A92" s="129" t="str">
        <x:v>CAMH_003</x:v>
      </x:c>
      <x:c r="B92" s="132" t="n">
        <x:v>46233</x:v>
      </x:c>
      <x:c r="C92" s="129" t="str">
        <x:v>Toronto</x:v>
      </x:c>
      <x:c r="D92" s="129" t="str">
        <x:v>Toyota</x:v>
      </x:c>
      <x:c r="E92" s="129" t="str">
        <x:v>Camry Hybrid</x:v>
      </x:c>
      <x:c r="F92" s="129" t="str">
        <x:v>XSE</x:v>
      </x:c>
      <x:c r="G92" s="135" t="n">
        <x:v>2022</x:v>
      </x:c>
      <x:c r="H92" s="138" t="n">
        <x:v>30300</x:v>
      </x:c>
      <x:c r="I92" s="141" t="n">
        <x:v>101161</x:v>
      </x:c>
      <x:c r="J92" s="129" t="str">
        <x:v>Sedan</x:v>
      </x:c>
      <x:c r="K92" s="129" t="str">
        <x:v>FWD</x:v>
      </x:c>
      <x:c r="L92" s="129" t="str">
        <x:v>2.5L I4 Hybrid</x:v>
      </x:c>
      <x:c r="M92" s="129" t="str">
        <x:v>Hybrid</x:v>
      </x:c>
      <x:c r="N92" s="129" t="str">
        <x:v>e-CVT</x:v>
      </x:c>
      <x:c r="O92" s="129" t="str">
        <x:v>Good Deal</x:v>
      </x:c>
      <x:c r="P92" s="129" t="str">
        <x:v>8th Generation XV70</x:v>
      </x:c>
      <x:c r="Q92" s="144" t="str"/>
    </x:row>
    <x:row r="93">
      <x:c r="A93" s="129" t="str">
        <x:v>CAMH_004</x:v>
      </x:c>
      <x:c r="B93" s="132" t="n">
        <x:v>46233</x:v>
      </x:c>
      <x:c r="C93" s="129" t="str">
        <x:v>Chatham-Kent</x:v>
      </x:c>
      <x:c r="D93" s="129" t="str">
        <x:v>Toyota</x:v>
      </x:c>
      <x:c r="E93" s="129" t="str">
        <x:v>Camry Hybrid</x:v>
      </x:c>
      <x:c r="F93" s="129" t="str">
        <x:v>XSE</x:v>
      </x:c>
      <x:c r="G93" s="135" t="n">
        <x:v>2022</x:v>
      </x:c>
      <x:c r="H93" s="138" t="n">
        <x:v>35599</x:v>
      </x:c>
      <x:c r="I93" s="141" t="n">
        <x:v>39288</x:v>
      </x:c>
      <x:c r="J93" s="129" t="str">
        <x:v>Sedan</x:v>
      </x:c>
      <x:c r="K93" s="129" t="str">
        <x:v>FWD</x:v>
      </x:c>
      <x:c r="L93" s="129" t="str">
        <x:v>2.5L I4 Hybrid</x:v>
      </x:c>
      <x:c r="M93" s="129" t="str">
        <x:v>Hybrid</x:v>
      </x:c>
      <x:c r="N93" s="129" t="str">
        <x:v>e-CVT</x:v>
      </x:c>
      <x:c r="O93" s="129" t="str">
        <x:v>Good Deal</x:v>
      </x:c>
      <x:c r="P93" s="129" t="str">
        <x:v>8th Generation XV70</x:v>
      </x:c>
      <x:c r="Q93" s="144" t="str">
        <x:v>Certified Pre-Owned</x:v>
      </x:c>
    </x:row>
    <x:row r="94">
      <x:c r="A94" s="129" t="str">
        <x:v>CAMH_005</x:v>
      </x:c>
      <x:c r="B94" s="132" t="n">
        <x:v>46233</x:v>
      </x:c>
      <x:c r="C94" s="129" t="str">
        <x:v>Toronto</x:v>
      </x:c>
      <x:c r="D94" s="129" t="str">
        <x:v>Toyota</x:v>
      </x:c>
      <x:c r="E94" s="129" t="str">
        <x:v>Camry Hybrid</x:v>
      </x:c>
      <x:c r="F94" s="129" t="str">
        <x:v>SE</x:v>
      </x:c>
      <x:c r="G94" s="135" t="n">
        <x:v>2022</x:v>
      </x:c>
      <x:c r="H94" s="138" t="n">
        <x:v>29900</x:v>
      </x:c>
      <x:c r="I94" s="141" t="n">
        <x:v>48406</x:v>
      </x:c>
      <x:c r="J94" s="129" t="str">
        <x:v>Sedan</x:v>
      </x:c>
      <x:c r="K94" s="129" t="str">
        <x:v>FWD</x:v>
      </x:c>
      <x:c r="L94" s="129" t="str">
        <x:v>2.5L I4 Hybrid</x:v>
      </x:c>
      <x:c r="M94" s="129" t="str">
        <x:v>Hybrid</x:v>
      </x:c>
      <x:c r="N94" s="129" t="str">
        <x:v>e-CVT</x:v>
      </x:c>
      <x:c r="O94" s="129" t="str">
        <x:v>Good Deal</x:v>
      </x:c>
      <x:c r="P94" s="129" t="str">
        <x:v>8th Generation XV70</x:v>
      </x:c>
      <x:c r="Q94" s="144" t="str">
        <x:v>Price reduced by $800</x:v>
      </x:c>
    </x:row>
    <x:row r="95">
      <x:c r="A95" s="129" t="str">
        <x:v>CAMH_006</x:v>
      </x:c>
      <x:c r="B95" s="132" t="n">
        <x:v>46233</x:v>
      </x:c>
      <x:c r="C95" s="129" t="str">
        <x:v>Toronto</x:v>
      </x:c>
      <x:c r="D95" s="129" t="str">
        <x:v>Toyota</x:v>
      </x:c>
      <x:c r="E95" s="129" t="str">
        <x:v>Camry Hybrid</x:v>
      </x:c>
      <x:c r="F95" s="129" t="str">
        <x:v>SE</x:v>
      </x:c>
      <x:c r="G95" s="135" t="n">
        <x:v>2022</x:v>
      </x:c>
      <x:c r="H95" s="138" t="n">
        <x:v>27699</x:v>
      </x:c>
      <x:c r="I95" s="141" t="n">
        <x:v>96474</x:v>
      </x:c>
      <x:c r="J95" s="129" t="str">
        <x:v>Sedan</x:v>
      </x:c>
      <x:c r="K95" s="129" t="str">
        <x:v>FWD</x:v>
      </x:c>
      <x:c r="L95" s="129" t="str">
        <x:v>2.5L I4 Hybrid</x:v>
      </x:c>
      <x:c r="M95" s="129" t="str">
        <x:v>Hybrid</x:v>
      </x:c>
      <x:c r="N95" s="129" t="str">
        <x:v>e-CVT</x:v>
      </x:c>
      <x:c r="O95" s="129" t="str">
        <x:v>Good Deal</x:v>
      </x:c>
      <x:c r="P95" s="129" t="str">
        <x:v>8th Generation XV70</x:v>
      </x:c>
      <x:c r="Q95" s="144" t="str"/>
    </x:row>
    <x:row r="96">
      <x:c r="A96" s="129" t="str">
        <x:v>CAMH_007</x:v>
      </x:c>
      <x:c r="B96" s="132" t="n">
        <x:v>46233</x:v>
      </x:c>
      <x:c r="C96" s="129" t="str">
        <x:v>North York</x:v>
      </x:c>
      <x:c r="D96" s="129" t="str">
        <x:v>Toyota</x:v>
      </x:c>
      <x:c r="E96" s="129" t="str">
        <x:v>Camry Hybrid</x:v>
      </x:c>
      <x:c r="F96" s="129" t="str">
        <x:v>SE</x:v>
      </x:c>
      <x:c r="G96" s="135" t="n">
        <x:v>2020</x:v>
      </x:c>
      <x:c r="H96" s="138" t="n">
        <x:v>25985</x:v>
      </x:c>
      <x:c r="I96" s="141" t="n">
        <x:v>80510</x:v>
      </x:c>
      <x:c r="J96" s="129" t="str">
        <x:v>Sedan</x:v>
      </x:c>
      <x:c r="K96" s="129" t="str">
        <x:v>FWD</x:v>
      </x:c>
      <x:c r="L96" s="129" t="str">
        <x:v>2.5L I4 Hybrid</x:v>
      </x:c>
      <x:c r="M96" s="129" t="str">
        <x:v>Hybrid</x:v>
      </x:c>
      <x:c r="N96" s="129" t="str">
        <x:v>e-CVT</x:v>
      </x:c>
      <x:c r="O96" s="129" t="str">
        <x:v>Good Deal</x:v>
      </x:c>
      <x:c r="P96" s="129" t="str">
        <x:v>8th Generation XV70</x:v>
      </x:c>
      <x:c r="Q96" s="144" t="str"/>
    </x:row>
    <x:row r="97">
      <x:c r="A97" s="129" t="str">
        <x:v>CAMH_008</x:v>
      </x:c>
      <x:c r="B97" s="132" t="n">
        <x:v>46233</x:v>
      </x:c>
      <x:c r="C97" s="129" t="str">
        <x:v>Toronto</x:v>
      </x:c>
      <x:c r="D97" s="129" t="str">
        <x:v>Toyota</x:v>
      </x:c>
      <x:c r="E97" s="129" t="str">
        <x:v>Camry Hybrid</x:v>
      </x:c>
      <x:c r="F97" s="129" t="str">
        <x:v>XSE</x:v>
      </x:c>
      <x:c r="G97" s="135" t="n">
        <x:v>2022</x:v>
      </x:c>
      <x:c r="H97" s="138" t="n">
        <x:v>31995</x:v>
      </x:c>
      <x:c r="I97" s="141" t="n">
        <x:v>84384</x:v>
      </x:c>
      <x:c r="J97" s="129" t="str">
        <x:v>Sedan</x:v>
      </x:c>
      <x:c r="K97" s="129" t="str">
        <x:v>FWD</x:v>
      </x:c>
      <x:c r="L97" s="129" t="str">
        <x:v>2.5L I4 Hybrid</x:v>
      </x:c>
      <x:c r="M97" s="129" t="str">
        <x:v>Hybrid</x:v>
      </x:c>
      <x:c r="N97" s="129" t="str">
        <x:v>e-CVT</x:v>
      </x:c>
      <x:c r="O97" s="129" t="str">
        <x:v>Good Deal</x:v>
      </x:c>
      <x:c r="P97" s="129" t="str">
        <x:v>8th Generation XV70</x:v>
      </x:c>
      <x:c r="Q97" s="144" t="str"/>
    </x:row>
    <x:row r="98">
      <x:c r="A98" s="129" t="str">
        <x:v>CAMH_009</x:v>
      </x:c>
      <x:c r="B98" s="132" t="n">
        <x:v>46233</x:v>
      </x:c>
      <x:c r="C98" s="129" t="str">
        <x:v>Not recorded</x:v>
      </x:c>
      <x:c r="D98" s="129" t="str">
        <x:v>Toyota</x:v>
      </x:c>
      <x:c r="E98" s="129" t="str">
        <x:v>Camry Hybrid</x:v>
      </x:c>
      <x:c r="F98" s="129" t="str">
        <x:v>SE</x:v>
      </x:c>
      <x:c r="G98" s="135" t="n">
        <x:v>2023</x:v>
      </x:c>
      <x:c r="H98" s="138" t="n">
        <x:v>25190</x:v>
      </x:c>
      <x:c r="I98" s="141" t="n">
        <x:v>146742</x:v>
      </x:c>
      <x:c r="J98" s="129" t="str">
        <x:v>Sedan</x:v>
      </x:c>
      <x:c r="K98" s="129" t="str">
        <x:v>FWD</x:v>
      </x:c>
      <x:c r="L98" s="129" t="str">
        <x:v>2.5L I4 Hybrid</x:v>
      </x:c>
      <x:c r="M98" s="129" t="str">
        <x:v>Hybrid</x:v>
      </x:c>
      <x:c r="N98" s="129" t="str">
        <x:v>e-CVT</x:v>
      </x:c>
      <x:c r="O98" s="129" t="str">
        <x:v>Good Deal</x:v>
      </x:c>
      <x:c r="P98" s="129" t="str">
        <x:v>8th Generation XV70</x:v>
      </x:c>
      <x:c r="Q98" s="144" t="str">
        <x:v>High mileage</x:v>
      </x:c>
    </x:row>
    <x:row r="99">
      <x:c r="A99" s="129" t="str">
        <x:v>CAMH_010</x:v>
      </x:c>
      <x:c r="B99" s="132" t="n">
        <x:v>46233</x:v>
      </x:c>
      <x:c r="C99" s="129" t="str">
        <x:v>Toronto</x:v>
      </x:c>
      <x:c r="D99" s="129" t="str">
        <x:v>Toyota</x:v>
      </x:c>
      <x:c r="E99" s="129" t="str">
        <x:v>Camry Hybrid</x:v>
      </x:c>
      <x:c r="F99" s="129" t="str">
        <x:v>SE</x:v>
      </x:c>
      <x:c r="G99" s="135" t="n">
        <x:v>2020</x:v>
      </x:c>
      <x:c r="H99" s="138" t="n">
        <x:v>19998</x:v>
      </x:c>
      <x:c r="I99" s="141" t="n">
        <x:v>215125</x:v>
      </x:c>
      <x:c r="J99" s="129" t="str">
        <x:v>Sedan</x:v>
      </x:c>
      <x:c r="K99" s="129" t="str">
        <x:v>FWD</x:v>
      </x:c>
      <x:c r="L99" s="129" t="str">
        <x:v>2.5L I4 Hybrid</x:v>
      </x:c>
      <x:c r="M99" s="129" t="str">
        <x:v>Hybrid</x:v>
      </x:c>
      <x:c r="N99" s="129" t="str">
        <x:v>e-CVT</x:v>
      </x:c>
      <x:c r="O99" s="129" t="str">
        <x:v>Good Deal</x:v>
      </x:c>
      <x:c r="P99" s="129" t="str">
        <x:v>8th Generation XV70</x:v>
      </x:c>
      <x:c r="Q99" s="144" t="str">
        <x:v>Unusually high mileage</x:v>
      </x:c>
    </x:row>
    <x:row r="100">
      <x:c r="A100" s="129" t="str">
        <x:v>CAMH_011</x:v>
      </x:c>
      <x:c r="B100" s="132" t="n">
        <x:v>46233</x:v>
      </x:c>
      <x:c r="C100" s="129" t="str">
        <x:v>Scarborough</x:v>
      </x:c>
      <x:c r="D100" s="129" t="str">
        <x:v>Toyota</x:v>
      </x:c>
      <x:c r="E100" s="129" t="str">
        <x:v>Camry Hybrid</x:v>
      </x:c>
      <x:c r="F100" s="129" t="str">
        <x:v>XSE</x:v>
      </x:c>
      <x:c r="G100" s="135" t="n">
        <x:v>2022</x:v>
      </x:c>
      <x:c r="H100" s="138" t="n">
        <x:v>32988</x:v>
      </x:c>
      <x:c r="I100" s="141" t="n">
        <x:v>71295</x:v>
      </x:c>
      <x:c r="J100" s="129" t="str">
        <x:v>Sedan</x:v>
      </x:c>
      <x:c r="K100" s="129" t="str">
        <x:v>FWD</x:v>
      </x:c>
      <x:c r="L100" s="129" t="str">
        <x:v>2.5L I4 Hybrid</x:v>
      </x:c>
      <x:c r="M100" s="129" t="str">
        <x:v>Hybrid</x:v>
      </x:c>
      <x:c r="N100" s="129" t="str">
        <x:v>e-CVT</x:v>
      </x:c>
      <x:c r="O100" s="129" t="str">
        <x:v>Good Deal</x:v>
      </x:c>
      <x:c r="P100" s="129" t="str">
        <x:v>8th Generation XV70</x:v>
      </x:c>
      <x:c r="Q100" s="144" t="str"/>
    </x:row>
    <x:row r="101">
      <x:c r="A101" s="129" t="str">
        <x:v>CAMH_012</x:v>
      </x:c>
      <x:c r="B101" s="132" t="n">
        <x:v>46233</x:v>
      </x:c>
      <x:c r="C101" s="129" t="str">
        <x:v>Mississauga</x:v>
      </x:c>
      <x:c r="D101" s="129" t="str">
        <x:v>Toyota</x:v>
      </x:c>
      <x:c r="E101" s="129" t="str">
        <x:v>Camry Hybrid</x:v>
      </x:c>
      <x:c r="F101" s="129" t="str">
        <x:v>SE</x:v>
      </x:c>
      <x:c r="G101" s="135" t="n">
        <x:v>2020</x:v>
      </x:c>
      <x:c r="H101" s="138" t="n">
        <x:v>28990</x:v>
      </x:c>
      <x:c r="I101" s="141" t="n">
        <x:v>26300</x:v>
      </x:c>
      <x:c r="J101" s="129" t="str">
        <x:v>Sedan</x:v>
      </x:c>
      <x:c r="K101" s="129" t="str">
        <x:v>FWD</x:v>
      </x:c>
      <x:c r="L101" s="129" t="str">
        <x:v>2.5L I4 Hybrid</x:v>
      </x:c>
      <x:c r="M101" s="129" t="str">
        <x:v>Hybrid</x:v>
      </x:c>
      <x:c r="N101" s="129" t="str">
        <x:v>e-CVT</x:v>
      </x:c>
      <x:c r="O101" s="129" t="str">
        <x:v>Good Deal</x:v>
      </x:c>
      <x:c r="P101" s="129" t="str">
        <x:v>8th Generation XV70</x:v>
      </x:c>
      <x:c r="Q101" s="144" t="str"/>
    </x:row>
    <x:row r="102">
      <x:c r="A102" s="129" t="str">
        <x:v>CAMH_013</x:v>
      </x:c>
      <x:c r="B102" s="132" t="n">
        <x:v>46233</x:v>
      </x:c>
      <x:c r="C102" s="129" t="str">
        <x:v>Simcoe</x:v>
      </x:c>
      <x:c r="D102" s="129" t="str">
        <x:v>Toyota</x:v>
      </x:c>
      <x:c r="E102" s="129" t="str">
        <x:v>Camry Hybrid</x:v>
      </x:c>
      <x:c r="F102" s="129" t="str">
        <x:v>SE</x:v>
      </x:c>
      <x:c r="G102" s="135" t="n">
        <x:v>2020</x:v>
      </x:c>
      <x:c r="H102" s="138" t="n">
        <x:v>26995</x:v>
      </x:c>
      <x:c r="I102" s="141" t="n">
        <x:v>69256</x:v>
      </x:c>
      <x:c r="J102" s="129" t="str">
        <x:v>Sedan</x:v>
      </x:c>
      <x:c r="K102" s="129" t="str">
        <x:v>FWD</x:v>
      </x:c>
      <x:c r="L102" s="129" t="str">
        <x:v>2.5L I4 Hybrid</x:v>
      </x:c>
      <x:c r="M102" s="129" t="str">
        <x:v>Hybrid</x:v>
      </x:c>
      <x:c r="N102" s="129" t="str">
        <x:v>e-CVT</x:v>
      </x:c>
      <x:c r="O102" s="129" t="str">
        <x:v>Good Deal</x:v>
      </x:c>
      <x:c r="P102" s="129" t="str">
        <x:v>8th Generation XV70</x:v>
      </x:c>
      <x:c r="Q102" s="144" t="str"/>
    </x:row>
    <x:row r="103">
      <x:c r="A103" s="129" t="str">
        <x:v>CAMH_014</x:v>
      </x:c>
      <x:c r="B103" s="132" t="n">
        <x:v>46233</x:v>
      </x:c>
      <x:c r="C103" s="129" t="str">
        <x:v>Barrie</x:v>
      </x:c>
      <x:c r="D103" s="129" t="str">
        <x:v>Toyota</x:v>
      </x:c>
      <x:c r="E103" s="129" t="str">
        <x:v>Camry Hybrid</x:v>
      </x:c>
      <x:c r="F103" s="129" t="str">
        <x:v>LE</x:v>
      </x:c>
      <x:c r="G103" s="135" t="n">
        <x:v>2024</x:v>
      </x:c>
      <x:c r="H103" s="138" t="n">
        <x:v>31980</x:v>
      </x:c>
      <x:c r="I103" s="141" t="n">
        <x:v>64729</x:v>
      </x:c>
      <x:c r="J103" s="129" t="str">
        <x:v>Sedan</x:v>
      </x:c>
      <x:c r="K103" s="129" t="str">
        <x:v>FWD</x:v>
      </x:c>
      <x:c r="L103" s="129" t="str">
        <x:v>2.5L I4 Hybrid</x:v>
      </x:c>
      <x:c r="M103" s="129" t="str">
        <x:v>Hybrid</x:v>
      </x:c>
      <x:c r="N103" s="129" t="str">
        <x:v>e-CVT</x:v>
      </x:c>
      <x:c r="O103" s="129" t="str">
        <x:v>Good Deal</x:v>
      </x:c>
      <x:c r="P103" s="129" t="str">
        <x:v>8th Generation XV70</x:v>
      </x:c>
      <x:c r="Q103" s="144" t="str"/>
    </x:row>
    <x:row r="104">
      <x:c r="A104" s="129" t="str">
        <x:v>CAMH_015</x:v>
      </x:c>
      <x:c r="B104" s="132" t="n">
        <x:v>46233</x:v>
      </x:c>
      <x:c r="C104" s="129" t="str">
        <x:v>Hamilton</x:v>
      </x:c>
      <x:c r="D104" s="129" t="str">
        <x:v>Toyota</x:v>
      </x:c>
      <x:c r="E104" s="129" t="str">
        <x:v>Camry Hybrid</x:v>
      </x:c>
      <x:c r="F104" s="129" t="str">
        <x:v>Not recorded</x:v>
      </x:c>
      <x:c r="G104" s="135" t="n">
        <x:v>2021</x:v>
      </x:c>
      <x:c r="H104" s="138" t="n">
        <x:v>29900</x:v>
      </x:c>
      <x:c r="I104" s="141" t="n">
        <x:v>59862</x:v>
      </x:c>
      <x:c r="J104" s="129" t="str">
        <x:v>Sedan</x:v>
      </x:c>
      <x:c r="K104" s="129" t="str">
        <x:v>FWD</x:v>
      </x:c>
      <x:c r="L104" s="129" t="str">
        <x:v>2.5L I4 Hybrid</x:v>
      </x:c>
      <x:c r="M104" s="129" t="str">
        <x:v>Hybrid</x:v>
      </x:c>
      <x:c r="N104" s="129" t="str">
        <x:v>e-CVT</x:v>
      </x:c>
      <x:c r="O104" s="129" t="str">
        <x:v>Fair Deal</x:v>
      </x:c>
      <x:c r="P104" s="129" t="str">
        <x:v>8th Generation XV70</x:v>
      </x:c>
      <x:c r="Q104" s="144" t="str">
        <x:v>Trim not displayed</x:v>
      </x:c>
    </x:row>
    <x:row r="105">
      <x:c r="A105" s="129" t="str">
        <x:v>CAMH_016</x:v>
      </x:c>
      <x:c r="B105" s="132" t="n">
        <x:v>46233</x:v>
      </x:c>
      <x:c r="C105" s="129" t="str">
        <x:v>North York</x:v>
      </x:c>
      <x:c r="D105" s="129" t="str">
        <x:v>Toyota</x:v>
      </x:c>
      <x:c r="E105" s="129" t="str">
        <x:v>Camry Hybrid</x:v>
      </x:c>
      <x:c r="F105" s="129" t="str">
        <x:v>SE</x:v>
      </x:c>
      <x:c r="G105" s="135" t="n">
        <x:v>2023</x:v>
      </x:c>
      <x:c r="H105" s="138" t="n">
        <x:v>28850</x:v>
      </x:c>
      <x:c r="I105" s="141" t="n">
        <x:v>127000</x:v>
      </x:c>
      <x:c r="J105" s="129" t="str">
        <x:v>Sedan</x:v>
      </x:c>
      <x:c r="K105" s="129" t="str">
        <x:v>FWD</x:v>
      </x:c>
      <x:c r="L105" s="129" t="str">
        <x:v>2.5L I4 Hybrid</x:v>
      </x:c>
      <x:c r="M105" s="129" t="str">
        <x:v>Hybrid</x:v>
      </x:c>
      <x:c r="N105" s="129" t="str">
        <x:v>e-CVT</x:v>
      </x:c>
      <x:c r="O105" s="129" t="str">
        <x:v>Fair Deal</x:v>
      </x:c>
      <x:c r="P105" s="129" t="str">
        <x:v>8th Generation XV70</x:v>
      </x:c>
      <x:c r="Q105" s="144" t="str">
        <x:v>High mileage</x:v>
      </x:c>
    </x:row>
    <x:row r="106">
      <x:c r="A106" s="129" t="str">
        <x:v>CAMH_017</x:v>
      </x:c>
      <x:c r="B106" s="132" t="n">
        <x:v>46233</x:v>
      </x:c>
      <x:c r="C106" s="129" t="str">
        <x:v>Burlington</x:v>
      </x:c>
      <x:c r="D106" s="129" t="str">
        <x:v>Toyota</x:v>
      </x:c>
      <x:c r="E106" s="129" t="str">
        <x:v>Camry Hybrid</x:v>
      </x:c>
      <x:c r="F106" s="129" t="str">
        <x:v>XSE</x:v>
      </x:c>
      <x:c r="G106" s="135" t="n">
        <x:v>2022</x:v>
      </x:c>
      <x:c r="H106" s="138" t="n">
        <x:v>27495</x:v>
      </x:c>
      <x:c r="I106" s="141" t="n">
        <x:v>177480</x:v>
      </x:c>
      <x:c r="J106" s="129" t="str">
        <x:v>Sedan</x:v>
      </x:c>
      <x:c r="K106" s="129" t="str">
        <x:v>FWD</x:v>
      </x:c>
      <x:c r="L106" s="129" t="str">
        <x:v>2.5L I4 Hybrid</x:v>
      </x:c>
      <x:c r="M106" s="129" t="str">
        <x:v>Hybrid</x:v>
      </x:c>
      <x:c r="N106" s="129" t="str">
        <x:v>e-CVT</x:v>
      </x:c>
      <x:c r="O106" s="129" t="str">
        <x:v>Fair Deal</x:v>
      </x:c>
      <x:c r="P106" s="129" t="str">
        <x:v>8th Generation XV70</x:v>
      </x:c>
      <x:c r="Q106" s="144" t="str">
        <x:v>Unusually high mileage</x:v>
      </x:c>
    </x:row>
    <x:row r="107">
      <x:c r="A107" s="129" t="str">
        <x:v>CAMH_018</x:v>
      </x:c>
      <x:c r="B107" s="132" t="n">
        <x:v>46233</x:v>
      </x:c>
      <x:c r="C107" s="129" t="str">
        <x:v>Whitby</x:v>
      </x:c>
      <x:c r="D107" s="129" t="str">
        <x:v>Toyota</x:v>
      </x:c>
      <x:c r="E107" s="129" t="str">
        <x:v>Camry Hybrid</x:v>
      </x:c>
      <x:c r="F107" s="129" t="str">
        <x:v>SE</x:v>
      </x:c>
      <x:c r="G107" s="135" t="n">
        <x:v>2024</x:v>
      </x:c>
      <x:c r="H107" s="138" t="n">
        <x:v>35900</x:v>
      </x:c>
      <x:c r="I107" s="141" t="n">
        <x:v>32904</x:v>
      </x:c>
      <x:c r="J107" s="129" t="str">
        <x:v>Sedan</x:v>
      </x:c>
      <x:c r="K107" s="129" t="str">
        <x:v>FWD</x:v>
      </x:c>
      <x:c r="L107" s="129" t="str">
        <x:v>2.5L I4 Hybrid</x:v>
      </x:c>
      <x:c r="M107" s="129" t="str">
        <x:v>Hybrid</x:v>
      </x:c>
      <x:c r="N107" s="129" t="str">
        <x:v>e-CVT</x:v>
      </x:c>
      <x:c r="O107" s="129" t="str">
        <x:v>Fair Deal</x:v>
      </x:c>
      <x:c r="P107" s="129" t="str">
        <x:v>8th Generation XV70</x:v>
      </x:c>
      <x:c r="Q107" s="144" t="str"/>
    </x:row>
    <x:row r="108">
      <x:c r="A108" s="129" t="str">
        <x:v>CAMH_019</x:v>
      </x:c>
      <x:c r="B108" s="132" t="n">
        <x:v>46233</x:v>
      </x:c>
      <x:c r="C108" s="129" t="str">
        <x:v>Toronto</x:v>
      </x:c>
      <x:c r="D108" s="129" t="str">
        <x:v>Toyota</x:v>
      </x:c>
      <x:c r="E108" s="129" t="str">
        <x:v>Camry Hybrid</x:v>
      </x:c>
      <x:c r="F108" s="129" t="str">
        <x:v>SE</x:v>
      </x:c>
      <x:c r="G108" s="135" t="n">
        <x:v>2021</x:v>
      </x:c>
      <x:c r="H108" s="138" t="n">
        <x:v>31995</x:v>
      </x:c>
      <x:c r="I108" s="141" t="n">
        <x:v>37500</x:v>
      </x:c>
      <x:c r="J108" s="129" t="str">
        <x:v>Sedan</x:v>
      </x:c>
      <x:c r="K108" s="129" t="str">
        <x:v>FWD</x:v>
      </x:c>
      <x:c r="L108" s="129" t="str">
        <x:v>2.5L I4 Hybrid</x:v>
      </x:c>
      <x:c r="M108" s="129" t="str">
        <x:v>Hybrid</x:v>
      </x:c>
      <x:c r="N108" s="129" t="str">
        <x:v>e-CVT</x:v>
      </x:c>
      <x:c r="O108" s="129" t="str">
        <x:v>Fair Deal</x:v>
      </x:c>
      <x:c r="P108" s="129" t="str">
        <x:v>8th Generation XV70</x:v>
      </x:c>
      <x:c r="Q108" s="144" t="str"/>
    </x:row>
    <x:row r="109">
      <x:c r="A109" s="129" t="str">
        <x:v>CAMH_020</x:v>
      </x:c>
      <x:c r="B109" s="132" t="n">
        <x:v>46233</x:v>
      </x:c>
      <x:c r="C109" s="129" t="str">
        <x:v>London</x:v>
      </x:c>
      <x:c r="D109" s="129" t="str">
        <x:v>Toyota</x:v>
      </x:c>
      <x:c r="E109" s="129" t="str">
        <x:v>Camry Hybrid</x:v>
      </x:c>
      <x:c r="F109" s="129" t="str">
        <x:v>SE</x:v>
      </x:c>
      <x:c r="G109" s="135" t="n">
        <x:v>2021</x:v>
      </x:c>
      <x:c r="H109" s="138" t="n">
        <x:v>30998</x:v>
      </x:c>
      <x:c r="I109" s="141" t="n">
        <x:v>48394</x:v>
      </x:c>
      <x:c r="J109" s="129" t="str">
        <x:v>Sedan</x:v>
      </x:c>
      <x:c r="K109" s="129" t="str">
        <x:v>FWD</x:v>
      </x:c>
      <x:c r="L109" s="129" t="str">
        <x:v>2.5L I4 Hybrid</x:v>
      </x:c>
      <x:c r="M109" s="129" t="str">
        <x:v>Hybrid</x:v>
      </x:c>
      <x:c r="N109" s="129" t="str">
        <x:v>e-CVT</x:v>
      </x:c>
      <x:c r="O109" s="129" t="str">
        <x:v>Fair Deal</x:v>
      </x:c>
      <x:c r="P109" s="129" t="str">
        <x:v>8th Generation XV70</x:v>
      </x:c>
      <x:c r="Q109" s="144" t="str"/>
    </x:row>
    <x:row r="110">
      <x:c r="A110" s="129" t="str">
        <x:v>CAMH_021</x:v>
      </x:c>
      <x:c r="B110" s="132" t="n">
        <x:v>46233</x:v>
      </x:c>
      <x:c r="C110" s="129" t="str">
        <x:v>Mississauga</x:v>
      </x:c>
      <x:c r="D110" s="129" t="str">
        <x:v>Toyota</x:v>
      </x:c>
      <x:c r="E110" s="129" t="str">
        <x:v>Camry Hybrid</x:v>
      </x:c>
      <x:c r="F110" s="129" t="str">
        <x:v>XSE</x:v>
      </x:c>
      <x:c r="G110" s="135" t="n">
        <x:v>2024</x:v>
      </x:c>
      <x:c r="H110" s="138" t="n">
        <x:v>37995</x:v>
      </x:c>
      <x:c r="I110" s="141" t="n">
        <x:v>77948</x:v>
      </x:c>
      <x:c r="J110" s="129" t="str">
        <x:v>Sedan</x:v>
      </x:c>
      <x:c r="K110" s="129" t="str">
        <x:v>FWD</x:v>
      </x:c>
      <x:c r="L110" s="129" t="str">
        <x:v>2.5L I4 Hybrid</x:v>
      </x:c>
      <x:c r="M110" s="129" t="str">
        <x:v>Hybrid</x:v>
      </x:c>
      <x:c r="N110" s="129" t="str">
        <x:v>e-CVT</x:v>
      </x:c>
      <x:c r="O110" s="129" t="str">
        <x:v>Fair Deal</x:v>
      </x:c>
      <x:c r="P110" s="129" t="str">
        <x:v>8th Generation XV70</x:v>
      </x:c>
      <x:c r="Q110" s="144" t="str"/>
    </x:row>
    <x:row r="111">
      <x:c r="A111" s="129" t="str">
        <x:v>AUD4_001</x:v>
      </x:c>
      <x:c r="B111" s="132" t="n">
        <x:v>46233</x:v>
      </x:c>
      <x:c r="C111" s="129" t="str">
        <x:v>Kitchener</x:v>
      </x:c>
      <x:c r="D111" s="129" t="str">
        <x:v>Audi</x:v>
      </x:c>
      <x:c r="E111" s="129" t="str">
        <x:v>A4</x:v>
      </x:c>
      <x:c r="F111" s="129" t="str">
        <x:v>Komfort 45 TFSI</x:v>
      </x:c>
      <x:c r="G111" s="135" t="n">
        <x:v>2024</x:v>
      </x:c>
      <x:c r="H111" s="138" t="n">
        <x:v>26499</x:v>
      </x:c>
      <x:c r="I111" s="141" t="n">
        <x:v>79167</x:v>
      </x:c>
      <x:c r="J111" s="129" t="str">
        <x:v>Sedan</x:v>
      </x:c>
      <x:c r="K111" s="129" t="str">
        <x:v>AWD</x:v>
      </x:c>
      <x:c r="L111" s="129" t="str">
        <x:v>2.0L Turbo I4</x:v>
      </x:c>
      <x:c r="M111" s="129" t="str">
        <x:v>Gasoline</x:v>
      </x:c>
      <x:c r="N111" s="129" t="str">
        <x:v>7-speed S tronic DCT</x:v>
      </x:c>
      <x:c r="O111" s="129" t="str">
        <x:v>Good Deal</x:v>
      </x:c>
      <x:c r="P111" s="129" t="str">
        <x:v>B9.5</x:v>
      </x:c>
      <x:c r="Q111" s="144" t="str">
        <x:v>quattro; duplicate listing removed</x:v>
      </x:c>
    </x:row>
    <x:row r="112">
      <x:c r="A112" s="129" t="str">
        <x:v>AUD4_002</x:v>
      </x:c>
      <x:c r="B112" s="132" t="n">
        <x:v>46233</x:v>
      </x:c>
      <x:c r="C112" s="129" t="str">
        <x:v>Toronto</x:v>
      </x:c>
      <x:c r="D112" s="129" t="str">
        <x:v>Audi</x:v>
      </x:c>
      <x:c r="E112" s="129" t="str">
        <x:v>A4</x:v>
      </x:c>
      <x:c r="F112" s="129" t="str">
        <x:v>Komfort</x:v>
      </x:c>
      <x:c r="G112" s="135" t="n">
        <x:v>2020</x:v>
      </x:c>
      <x:c r="H112" s="138" t="n">
        <x:v>18888</x:v>
      </x:c>
      <x:c r="I112" s="141" t="n">
        <x:v>79300</x:v>
      </x:c>
      <x:c r="J112" s="129" t="str">
        <x:v>Sedan</x:v>
      </x:c>
      <x:c r="K112" s="129" t="str">
        <x:v>AWD</x:v>
      </x:c>
      <x:c r="L112" s="129" t="str">
        <x:v>2.0L Turbo I4</x:v>
      </x:c>
      <x:c r="M112" s="129" t="str">
        <x:v>Gasoline</x:v>
      </x:c>
      <x:c r="N112" s="129" t="str">
        <x:v>7-speed S tronic DCT</x:v>
      </x:c>
      <x:c r="O112" s="129" t="str">
        <x:v>Great Deal</x:v>
      </x:c>
      <x:c r="P112" s="129" t="str">
        <x:v>B9.5</x:v>
      </x:c>
      <x:c r="Q112" s="144" t="str">
        <x:v>quattro</x:v>
      </x:c>
    </x:row>
    <x:row r="113">
      <x:c r="A113" s="129" t="str">
        <x:v>AUD4_003</x:v>
      </x:c>
      <x:c r="B113" s="132" t="n">
        <x:v>46233</x:v>
      </x:c>
      <x:c r="C113" s="129" t="str">
        <x:v>Burlington</x:v>
      </x:c>
      <x:c r="D113" s="129" t="str">
        <x:v>Audi</x:v>
      </x:c>
      <x:c r="E113" s="129" t="str">
        <x:v>A4</x:v>
      </x:c>
      <x:c r="F113" s="129" t="str">
        <x:v>Technik 45 TFSI</x:v>
      </x:c>
      <x:c r="G113" s="135" t="n">
        <x:v>2022</x:v>
      </x:c>
      <x:c r="H113" s="138" t="n">
        <x:v>32888</x:v>
      </x:c>
      <x:c r="I113" s="141" t="n">
        <x:v>11500</x:v>
      </x:c>
      <x:c r="J113" s="129" t="str">
        <x:v>Sedan</x:v>
      </x:c>
      <x:c r="K113" s="129" t="str">
        <x:v>AWD</x:v>
      </x:c>
      <x:c r="L113" s="129" t="str">
        <x:v>2.0L Turbo I4</x:v>
      </x:c>
      <x:c r="M113" s="129" t="str">
        <x:v>Gasoline</x:v>
      </x:c>
      <x:c r="N113" s="129" t="str">
        <x:v>7-speed S tronic DCT</x:v>
      </x:c>
      <x:c r="O113" s="129" t="str">
        <x:v>Great Deal</x:v>
      </x:c>
      <x:c r="P113" s="129" t="str">
        <x:v>B9.5</x:v>
      </x:c>
      <x:c r="Q113" s="144" t="str">
        <x:v>quattro; low mileage</x:v>
      </x:c>
    </x:row>
    <x:row r="114">
      <x:c r="A114" s="129" t="str">
        <x:v>AUD4_004</x:v>
      </x:c>
      <x:c r="B114" s="132" t="n">
        <x:v>46233</x:v>
      </x:c>
      <x:c r="C114" s="129" t="str">
        <x:v>Oakville</x:v>
      </x:c>
      <x:c r="D114" s="129" t="str">
        <x:v>Audi</x:v>
      </x:c>
      <x:c r="E114" s="129" t="str">
        <x:v>A4</x:v>
      </x:c>
      <x:c r="F114" s="129" t="str">
        <x:v>Progressiv</x:v>
      </x:c>
      <x:c r="G114" s="135" t="n">
        <x:v>2020</x:v>
      </x:c>
      <x:c r="H114" s="138" t="n">
        <x:v>25995</x:v>
      </x:c>
      <x:c r="I114" s="141" t="n">
        <x:v>77000</x:v>
      </x:c>
      <x:c r="J114" s="129" t="str">
        <x:v>Sedan</x:v>
      </x:c>
      <x:c r="K114" s="129" t="str">
        <x:v>AWD</x:v>
      </x:c>
      <x:c r="L114" s="129" t="str">
        <x:v>2.0L Turbo I4</x:v>
      </x:c>
      <x:c r="M114" s="129" t="str">
        <x:v>Gasoline</x:v>
      </x:c>
      <x:c r="N114" s="129" t="str">
        <x:v>7-speed S tronic DCT</x:v>
      </x:c>
      <x:c r="O114" s="129" t="str">
        <x:v>Good Deal</x:v>
      </x:c>
      <x:c r="P114" s="129" t="str">
        <x:v>B9.5</x:v>
      </x:c>
      <x:c r="Q114" s="144" t="str">
        <x:v>quattro</x:v>
      </x:c>
    </x:row>
    <x:row r="115">
      <x:c r="A115" s="129" t="str">
        <x:v>AUD4_005</x:v>
      </x:c>
      <x:c r="B115" s="132" t="n">
        <x:v>46233</x:v>
      </x:c>
      <x:c r="C115" s="129" t="str">
        <x:v>Vaughan</x:v>
      </x:c>
      <x:c r="D115" s="129" t="str">
        <x:v>Audi</x:v>
      </x:c>
      <x:c r="E115" s="129" t="str">
        <x:v>A4</x:v>
      </x:c>
      <x:c r="F115" s="129" t="str">
        <x:v>Premium Plus S Line</x:v>
      </x:c>
      <x:c r="G115" s="135" t="n">
        <x:v>2022</x:v>
      </x:c>
      <x:c r="H115" s="138" t="n">
        <x:v>26998</x:v>
      </x:c>
      <x:c r="I115" s="141" t="n">
        <x:v>83075</x:v>
      </x:c>
      <x:c r="J115" s="129" t="str">
        <x:v>Sedan</x:v>
      </x:c>
      <x:c r="K115" s="129" t="str">
        <x:v>AWD</x:v>
      </x:c>
      <x:c r="L115" s="129" t="str">
        <x:v>2.0L Turbo I4</x:v>
      </x:c>
      <x:c r="M115" s="129" t="str">
        <x:v>Gasoline</x:v>
      </x:c>
      <x:c r="N115" s="129" t="str">
        <x:v>7-speed S tronic DCT</x:v>
      </x:c>
      <x:c r="O115" s="129" t="str">
        <x:v>Good Deal</x:v>
      </x:c>
      <x:c r="P115" s="129" t="str">
        <x:v>B9.5</x:v>
      </x:c>
      <x:c r="Q115" s="144" t="str">
        <x:v>quattro; US-style trim name; verify import status</x:v>
      </x:c>
    </x:row>
    <x:row r="116">
      <x:c r="A116" s="129" t="str">
        <x:v>AUD4_006</x:v>
      </x:c>
      <x:c r="B116" s="132" t="n">
        <x:v>46233</x:v>
      </x:c>
      <x:c r="C116" s="129" t="str">
        <x:v>Mississauga</x:v>
      </x:c>
      <x:c r="D116" s="129" t="str">
        <x:v>Audi</x:v>
      </x:c>
      <x:c r="E116" s="129" t="str">
        <x:v>A4</x:v>
      </x:c>
      <x:c r="F116" s="129" t="str">
        <x:v>Komfort 45 TFSI</x:v>
      </x:c>
      <x:c r="G116" s="135" t="n">
        <x:v>2022</x:v>
      </x:c>
      <x:c r="H116" s="138" t="n">
        <x:v>30995</x:v>
      </x:c>
      <x:c r="I116" s="141" t="n">
        <x:v>27488</x:v>
      </x:c>
      <x:c r="J116" s="129" t="str">
        <x:v>Sedan</x:v>
      </x:c>
      <x:c r="K116" s="129" t="str">
        <x:v>AWD</x:v>
      </x:c>
      <x:c r="L116" s="129" t="str">
        <x:v>2.0L Turbo I4</x:v>
      </x:c>
      <x:c r="M116" s="129" t="str">
        <x:v>Gasoline</x:v>
      </x:c>
      <x:c r="N116" s="129" t="str">
        <x:v>7-speed S tronic DCT</x:v>
      </x:c>
      <x:c r="O116" s="129" t="str">
        <x:v>Good Deal</x:v>
      </x:c>
      <x:c r="P116" s="129" t="str">
        <x:v>B9.5</x:v>
      </x:c>
      <x:c r="Q116" s="144" t="str">
        <x:v>quattro</x:v>
      </x:c>
    </x:row>
    <x:row r="117">
      <x:c r="A117" s="129" t="str">
        <x:v>AUD4_007</x:v>
      </x:c>
      <x:c r="B117" s="132" t="n">
        <x:v>46233</x:v>
      </x:c>
      <x:c r="C117" s="129" t="str">
        <x:v>Mississauga</x:v>
      </x:c>
      <x:c r="D117" s="129" t="str">
        <x:v>Audi</x:v>
      </x:c>
      <x:c r="E117" s="129" t="str">
        <x:v>A4</x:v>
      </x:c>
      <x:c r="F117" s="129" t="str">
        <x:v>Komfort 45 TFSI</x:v>
      </x:c>
      <x:c r="G117" s="135" t="n">
        <x:v>2022</x:v>
      </x:c>
      <x:c r="H117" s="138" t="n">
        <x:v>27995</x:v>
      </x:c>
      <x:c r="I117" s="141" t="n">
        <x:v>64386</x:v>
      </x:c>
      <x:c r="J117" s="129" t="str">
        <x:v>Sedan</x:v>
      </x:c>
      <x:c r="K117" s="129" t="str">
        <x:v>AWD</x:v>
      </x:c>
      <x:c r="L117" s="129" t="str">
        <x:v>2.0L Turbo I4</x:v>
      </x:c>
      <x:c r="M117" s="129" t="str">
        <x:v>Gasoline</x:v>
      </x:c>
      <x:c r="N117" s="129" t="str">
        <x:v>7-speed S tronic DCT</x:v>
      </x:c>
      <x:c r="O117" s="129" t="str">
        <x:v>Good Deal</x:v>
      </x:c>
      <x:c r="P117" s="129" t="str">
        <x:v>B9.5</x:v>
      </x:c>
      <x:c r="Q117" s="144" t="str">
        <x:v>quattro</x:v>
      </x:c>
    </x:row>
    <x:row r="118">
      <x:c r="A118" s="129" t="str">
        <x:v>AUD4_008</x:v>
      </x:c>
      <x:c r="B118" s="132" t="n">
        <x:v>46233</x:v>
      </x:c>
      <x:c r="C118" s="129" t="str">
        <x:v>Mississauga</x:v>
      </x:c>
      <x:c r="D118" s="129" t="str">
        <x:v>Audi</x:v>
      </x:c>
      <x:c r="E118" s="129" t="str">
        <x:v>A4</x:v>
      </x:c>
      <x:c r="F118" s="129" t="str">
        <x:v>Progressiv 45 TFSI</x:v>
      </x:c>
      <x:c r="G118" s="135" t="n">
        <x:v>2023</x:v>
      </x:c>
      <x:c r="H118" s="138" t="n">
        <x:v>34488</x:v>
      </x:c>
      <x:c r="I118" s="141" t="n">
        <x:v>65275</x:v>
      </x:c>
      <x:c r="J118" s="129" t="str">
        <x:v>Sedan</x:v>
      </x:c>
      <x:c r="K118" s="129" t="str">
        <x:v>AWD</x:v>
      </x:c>
      <x:c r="L118" s="129" t="str">
        <x:v>2.0L Turbo I4</x:v>
      </x:c>
      <x:c r="M118" s="129" t="str">
        <x:v>Gasoline</x:v>
      </x:c>
      <x:c r="N118" s="129" t="str">
        <x:v>7-speed S tronic DCT</x:v>
      </x:c>
      <x:c r="O118" s="129" t="str">
        <x:v>Fair Deal</x:v>
      </x:c>
      <x:c r="P118" s="129" t="str">
        <x:v>B9.5</x:v>
      </x:c>
      <x:c r="Q118" s="144" t="str">
        <x:v>quattro</x:v>
      </x:c>
    </x:row>
    <x:row r="119">
      <x:c r="A119" s="129" t="str">
        <x:v>AUD4_009</x:v>
      </x:c>
      <x:c r="B119" s="132" t="n">
        <x:v>46233</x:v>
      </x:c>
      <x:c r="C119" s="129" t="str">
        <x:v>Kitchener</x:v>
      </x:c>
      <x:c r="D119" s="129" t="str">
        <x:v>Audi</x:v>
      </x:c>
      <x:c r="E119" s="129" t="str">
        <x:v>A4</x:v>
      </x:c>
      <x:c r="F119" s="129" t="str">
        <x:v>Komfort 45 TFSI</x:v>
      </x:c>
      <x:c r="G119" s="135" t="n">
        <x:v>2024</x:v>
      </x:c>
      <x:c r="H119" s="138" t="n">
        <x:v>25848</x:v>
      </x:c>
      <x:c r="I119" s="141" t="n">
        <x:v>83417</x:v>
      </x:c>
      <x:c r="J119" s="129" t="str">
        <x:v>Sedan</x:v>
      </x:c>
      <x:c r="K119" s="129" t="str">
        <x:v>AWD</x:v>
      </x:c>
      <x:c r="L119" s="129" t="str">
        <x:v>2.0L Turbo I4</x:v>
      </x:c>
      <x:c r="M119" s="129" t="str">
        <x:v>Gasoline</x:v>
      </x:c>
      <x:c r="N119" s="129" t="str">
        <x:v>7-speed S tronic DCT</x:v>
      </x:c>
      <x:c r="O119" s="129" t="str">
        <x:v>Good Deal</x:v>
      </x:c>
      <x:c r="P119" s="129" t="str">
        <x:v>B9.5</x:v>
      </x:c>
      <x:c r="Q119" s="144" t="str">
        <x:v>quattro</x:v>
      </x:c>
    </x:row>
    <x:row r="120">
      <x:c r="A120" s="129" t="str">
        <x:v>AUD4_010</x:v>
      </x:c>
      <x:c r="B120" s="132" t="n">
        <x:v>46233</x:v>
      </x:c>
      <x:c r="C120" s="129" t="str">
        <x:v>Kitchener</x:v>
      </x:c>
      <x:c r="D120" s="129" t="str">
        <x:v>Audi</x:v>
      </x:c>
      <x:c r="E120" s="129" t="str">
        <x:v>A4</x:v>
      </x:c>
      <x:c r="F120" s="129" t="str">
        <x:v>Komfort 45 TFSI</x:v>
      </x:c>
      <x:c r="G120" s="135" t="n">
        <x:v>2024</x:v>
      </x:c>
      <x:c r="H120" s="138" t="n">
        <x:v>26000</x:v>
      </x:c>
      <x:c r="I120" s="141" t="n">
        <x:v>81377</x:v>
      </x:c>
      <x:c r="J120" s="129" t="str">
        <x:v>Sedan</x:v>
      </x:c>
      <x:c r="K120" s="129" t="str">
        <x:v>AWD</x:v>
      </x:c>
      <x:c r="L120" s="129" t="str">
        <x:v>2.0L Turbo I4</x:v>
      </x:c>
      <x:c r="M120" s="129" t="str">
        <x:v>Gasoline</x:v>
      </x:c>
      <x:c r="N120" s="129" t="str">
        <x:v>7-speed S tronic DCT</x:v>
      </x:c>
      <x:c r="O120" s="129" t="str">
        <x:v>Good Deal</x:v>
      </x:c>
      <x:c r="P120" s="129" t="str">
        <x:v>B9.5</x:v>
      </x:c>
      <x:c r="Q120" s="144" t="str">
        <x:v>quattro</x:v>
      </x:c>
    </x:row>
    <x:row r="121">
      <x:c r="A121" s="129" t="str">
        <x:v>AUD4_011</x:v>
      </x:c>
      <x:c r="B121" s="132" t="n">
        <x:v>46233</x:v>
      </x:c>
      <x:c r="C121" s="129" t="str">
        <x:v>Mississauga</x:v>
      </x:c>
      <x:c r="D121" s="129" t="str">
        <x:v>Audi</x:v>
      </x:c>
      <x:c r="E121" s="129" t="str">
        <x:v>A4</x:v>
      </x:c>
      <x:c r="F121" s="129" t="str">
        <x:v>Komfort 45 TFSI</x:v>
      </x:c>
      <x:c r="G121" s="135" t="n">
        <x:v>2024</x:v>
      </x:c>
      <x:c r="H121" s="138" t="n">
        <x:v>36991</x:v>
      </x:c>
      <x:c r="I121" s="141" t="n">
        <x:v>8000</x:v>
      </x:c>
      <x:c r="J121" s="129" t="str">
        <x:v>Sedan</x:v>
      </x:c>
      <x:c r="K121" s="129" t="str">
        <x:v>AWD</x:v>
      </x:c>
      <x:c r="L121" s="129" t="str">
        <x:v>2.0L Turbo I4</x:v>
      </x:c>
      <x:c r="M121" s="129" t="str">
        <x:v>Gasoline</x:v>
      </x:c>
      <x:c r="N121" s="129" t="str">
        <x:v>7-speed S tronic DCT</x:v>
      </x:c>
      <x:c r="O121" s="129" t="str">
        <x:v>Good Deal</x:v>
      </x:c>
      <x:c r="P121" s="129" t="str">
        <x:v>B9.5</x:v>
      </x:c>
      <x:c r="Q121" s="144" t="str">
        <x:v>quattro; low mileage; duplicate listing removed</x:v>
      </x:c>
    </x:row>
    <x:row r="122">
      <x:c r="A122" s="129" t="str">
        <x:v>AUD4_012</x:v>
      </x:c>
      <x:c r="B122" s="132" t="n">
        <x:v>46233</x:v>
      </x:c>
      <x:c r="C122" s="129" t="str">
        <x:v>Mississauga</x:v>
      </x:c>
      <x:c r="D122" s="129" t="str">
        <x:v>Audi</x:v>
      </x:c>
      <x:c r="E122" s="129" t="str">
        <x:v>A4</x:v>
      </x:c>
      <x:c r="F122" s="129" t="str">
        <x:v>Premium Plus S Line</x:v>
      </x:c>
      <x:c r="G122" s="135" t="n">
        <x:v>2024</x:v>
      </x:c>
      <x:c r="H122" s="138" t="n">
        <x:v>42690</x:v>
      </x:c>
      <x:c r="I122" s="141" t="n">
        <x:v>1975</x:v>
      </x:c>
      <x:c r="J122" s="129" t="str">
        <x:v>Sedan</x:v>
      </x:c>
      <x:c r="K122" s="129" t="str">
        <x:v>AWD</x:v>
      </x:c>
      <x:c r="L122" s="129" t="str">
        <x:v>2.0L Turbo I4</x:v>
      </x:c>
      <x:c r="M122" s="129" t="str">
        <x:v>Gasoline</x:v>
      </x:c>
      <x:c r="N122" s="129" t="str">
        <x:v>7-speed S tronic DCT</x:v>
      </x:c>
      <x:c r="O122" s="129" t="str">
        <x:v>Good Deal</x:v>
      </x:c>
      <x:c r="P122" s="129" t="str">
        <x:v>B9.5</x:v>
      </x:c>
      <x:c r="Q122" s="144" t="str">
        <x:v>quattro; $1,100 price reduction; very low mileage; verify import status</x:v>
      </x:c>
    </x:row>
    <x:row r="123">
      <x:c r="A123" s="129" t="str">
        <x:v>AUD4_013</x:v>
      </x:c>
      <x:c r="B123" s="132" t="n">
        <x:v>46233</x:v>
      </x:c>
      <x:c r="C123" s="129" t="str">
        <x:v>Oakville</x:v>
      </x:c>
      <x:c r="D123" s="129" t="str">
        <x:v>Audi</x:v>
      </x:c>
      <x:c r="E123" s="129" t="str">
        <x:v>A4</x:v>
      </x:c>
      <x:c r="F123" s="129" t="str">
        <x:v>Komfort 45 TFSI</x:v>
      </x:c>
      <x:c r="G123" s="135" t="n">
        <x:v>2022</x:v>
      </x:c>
      <x:c r="H123" s="138" t="n">
        <x:v>30499</x:v>
      </x:c>
      <x:c r="I123" s="141" t="n">
        <x:v>47006</x:v>
      </x:c>
      <x:c r="J123" s="129" t="str">
        <x:v>Sedan</x:v>
      </x:c>
      <x:c r="K123" s="129" t="str">
        <x:v>AWD</x:v>
      </x:c>
      <x:c r="L123" s="129" t="str">
        <x:v>2.0L Turbo I4</x:v>
      </x:c>
      <x:c r="M123" s="129" t="str">
        <x:v>Gasoline</x:v>
      </x:c>
      <x:c r="N123" s="129" t="str">
        <x:v>7-speed S tronic DCT</x:v>
      </x:c>
      <x:c r="O123" s="129" t="str">
        <x:v>Good Deal</x:v>
      </x:c>
      <x:c r="P123" s="129" t="str">
        <x:v>B9.5</x:v>
      </x:c>
      <x:c r="Q123" s="144" t="str">
        <x:v>quattro</x:v>
      </x:c>
    </x:row>
    <x:row r="124">
      <x:c r="A124" s="129" t="str">
        <x:v>AUD4_014</x:v>
      </x:c>
      <x:c r="B124" s="132" t="n">
        <x:v>46233</x:v>
      </x:c>
      <x:c r="C124" s="129" t="str">
        <x:v>North York</x:v>
      </x:c>
      <x:c r="D124" s="129" t="str">
        <x:v>Audi</x:v>
      </x:c>
      <x:c r="E124" s="129" t="str">
        <x:v>A4</x:v>
      </x:c>
      <x:c r="F124" s="129" t="str">
        <x:v>Komfort 45 TFSI</x:v>
      </x:c>
      <x:c r="G124" s="135" t="n">
        <x:v>2023</x:v>
      </x:c>
      <x:c r="H124" s="138" t="n">
        <x:v>25999</x:v>
      </x:c>
      <x:c r="I124" s="141" t="n">
        <x:v>90176</x:v>
      </x:c>
      <x:c r="J124" s="129" t="str">
        <x:v>Sedan</x:v>
      </x:c>
      <x:c r="K124" s="129" t="str">
        <x:v>AWD</x:v>
      </x:c>
      <x:c r="L124" s="129" t="str">
        <x:v>2.0L Turbo I4</x:v>
      </x:c>
      <x:c r="M124" s="129" t="str">
        <x:v>Gasoline</x:v>
      </x:c>
      <x:c r="N124" s="129" t="str">
        <x:v>7-speed S tronic DCT</x:v>
      </x:c>
      <x:c r="O124" s="129" t="str">
        <x:v>Good Deal</x:v>
      </x:c>
      <x:c r="P124" s="129" t="str">
        <x:v>B9.5</x:v>
      </x:c>
      <x:c r="Q124" s="144" t="str">
        <x:v>quattro</x:v>
      </x:c>
    </x:row>
    <x:row r="125">
      <x:c r="A125" s="129" t="str">
        <x:v>AUD4_015</x:v>
      </x:c>
      <x:c r="B125" s="132" t="n">
        <x:v>46233</x:v>
      </x:c>
      <x:c r="C125" s="129" t="str">
        <x:v>Mississauga</x:v>
      </x:c>
      <x:c r="D125" s="129" t="str">
        <x:v>Audi</x:v>
      </x:c>
      <x:c r="E125" s="129" t="str">
        <x:v>A4</x:v>
      </x:c>
      <x:c r="F125" s="129" t="str">
        <x:v>Premium Plus S Line</x:v>
      </x:c>
      <x:c r="G125" s="135" t="n">
        <x:v>2022</x:v>
      </x:c>
      <x:c r="H125" s="138" t="n">
        <x:v>29990</x:v>
      </x:c>
      <x:c r="I125" s="141" t="n">
        <x:v>53400</x:v>
      </x:c>
      <x:c r="J125" s="129" t="str">
        <x:v>Sedan</x:v>
      </x:c>
      <x:c r="K125" s="129" t="str">
        <x:v>AWD</x:v>
      </x:c>
      <x:c r="L125" s="129" t="str">
        <x:v>2.0L Turbo I4</x:v>
      </x:c>
      <x:c r="M125" s="129" t="str">
        <x:v>Gasoline</x:v>
      </x:c>
      <x:c r="N125" s="129" t="str">
        <x:v>7-speed S tronic DCT</x:v>
      </x:c>
      <x:c r="O125" s="129" t="str">
        <x:v>Good Deal</x:v>
      </x:c>
      <x:c r="P125" s="129" t="str">
        <x:v>B9.5</x:v>
      </x:c>
      <x:c r="Q125" s="144" t="str">
        <x:v>quattro; US-style trim name; verify import status</x:v>
      </x:c>
    </x:row>
    <x:row r="126">
      <x:c r="A126" s="129" t="str">
        <x:v>AUD4_016</x:v>
      </x:c>
      <x:c r="B126" s="132" t="n">
        <x:v>46233</x:v>
      </x:c>
      <x:c r="C126" s="129" t="str">
        <x:v>Clarington</x:v>
      </x:c>
      <x:c r="D126" s="129" t="str">
        <x:v>Audi</x:v>
      </x:c>
      <x:c r="E126" s="129" t="str">
        <x:v>A4</x:v>
      </x:c>
      <x:c r="F126" s="129" t="str">
        <x:v>Premium Plus S Line</x:v>
      </x:c>
      <x:c r="G126" s="135" t="n">
        <x:v>2023</x:v>
      </x:c>
      <x:c r="H126" s="138" t="n">
        <x:v>31995</x:v>
      </x:c>
      <x:c r="I126" s="141" t="n">
        <x:v>61160</x:v>
      </x:c>
      <x:c r="J126" s="129" t="str">
        <x:v>Sedan</x:v>
      </x:c>
      <x:c r="K126" s="129" t="str">
        <x:v>AWD</x:v>
      </x:c>
      <x:c r="L126" s="129" t="str">
        <x:v>2.0L Turbo I4</x:v>
      </x:c>
      <x:c r="M126" s="129" t="str">
        <x:v>Gasoline</x:v>
      </x:c>
      <x:c r="N126" s="129" t="str">
        <x:v>7-speed S tronic DCT</x:v>
      </x:c>
      <x:c r="O126" s="129" t="str">
        <x:v>Good Deal</x:v>
      </x:c>
      <x:c r="P126" s="129" t="str">
        <x:v>B9.5</x:v>
      </x:c>
      <x:c r="Q126" s="144" t="str">
        <x:v>quattro; US-style trim name; verify import status</x:v>
      </x:c>
    </x:row>
    <x:row r="127">
      <x:c r="A127" s="129" t="str">
        <x:v>AUD4_017</x:v>
      </x:c>
      <x:c r="B127" s="132" t="n">
        <x:v>46233</x:v>
      </x:c>
      <x:c r="C127" s="129" t="str">
        <x:v>North York</x:v>
      </x:c>
      <x:c r="D127" s="129" t="str">
        <x:v>Audi</x:v>
      </x:c>
      <x:c r="E127" s="129" t="str">
        <x:v>A4</x:v>
      </x:c>
      <x:c r="F127" s="129" t="str">
        <x:v>Komfort</x:v>
      </x:c>
      <x:c r="G127" s="135" t="n">
        <x:v>2020</x:v>
      </x:c>
      <x:c r="H127" s="138" t="n">
        <x:v>20999</x:v>
      </x:c>
      <x:c r="I127" s="141" t="n">
        <x:v>107222</x:v>
      </x:c>
      <x:c r="J127" s="129" t="str">
        <x:v>Sedan</x:v>
      </x:c>
      <x:c r="K127" s="129" t="str">
        <x:v>AWD</x:v>
      </x:c>
      <x:c r="L127" s="129" t="str">
        <x:v>2.0L Turbo I4</x:v>
      </x:c>
      <x:c r="M127" s="129" t="str">
        <x:v>Gasoline</x:v>
      </x:c>
      <x:c r="N127" s="129" t="str">
        <x:v>7-speed S tronic DCT</x:v>
      </x:c>
      <x:c r="O127" s="129" t="str">
        <x:v>Good Deal</x:v>
      </x:c>
      <x:c r="P127" s="129" t="str">
        <x:v>B9.5</x:v>
      </x:c>
      <x:c r="Q127" s="144" t="str">
        <x:v>quattro; $1,000 price reduction</x:v>
      </x:c>
    </x:row>
    <x:row r="128">
      <x:c r="A128" s="129" t="str">
        <x:v>AUD4_018</x:v>
      </x:c>
      <x:c r="B128" s="132" t="n">
        <x:v>46233</x:v>
      </x:c>
      <x:c r="C128" s="129" t="str">
        <x:v>Toronto</x:v>
      </x:c>
      <x:c r="D128" s="129" t="str">
        <x:v>Audi</x:v>
      </x:c>
      <x:c r="E128" s="129" t="str">
        <x:v>A4</x:v>
      </x:c>
      <x:c r="F128" s="129" t="str">
        <x:v>Premium Plus S Line</x:v>
      </x:c>
      <x:c r="G128" s="135" t="n">
        <x:v>2023</x:v>
      </x:c>
      <x:c r="H128" s="138" t="n">
        <x:v>35895</x:v>
      </x:c>
      <x:c r="I128" s="141" t="n">
        <x:v>15921</x:v>
      </x:c>
      <x:c r="J128" s="129" t="str">
        <x:v>Sedan</x:v>
      </x:c>
      <x:c r="K128" s="129" t="str">
        <x:v>AWD</x:v>
      </x:c>
      <x:c r="L128" s="129" t="str">
        <x:v>2.0L Turbo I4</x:v>
      </x:c>
      <x:c r="M128" s="129" t="str">
        <x:v>Gasoline</x:v>
      </x:c>
      <x:c r="N128" s="129" t="str">
        <x:v>7-speed S tronic DCT</x:v>
      </x:c>
      <x:c r="O128" s="129" t="str">
        <x:v>Good Deal</x:v>
      </x:c>
      <x:c r="P128" s="129" t="str">
        <x:v>B9.5</x:v>
      </x:c>
      <x:c r="Q128" s="144" t="str">
        <x:v>quattro; low mileage; verify import status</x:v>
      </x:c>
    </x:row>
    <x:row r="129">
      <x:c r="A129" s="129" t="str">
        <x:v>AUD4_019</x:v>
      </x:c>
      <x:c r="B129" s="132" t="n">
        <x:v>46233</x:v>
      </x:c>
      <x:c r="C129" s="129" t="str">
        <x:v>North York</x:v>
      </x:c>
      <x:c r="D129" s="129" t="str">
        <x:v>Audi</x:v>
      </x:c>
      <x:c r="E129" s="129" t="str">
        <x:v>A4</x:v>
      </x:c>
      <x:c r="F129" s="129" t="str">
        <x:v>Technik</x:v>
      </x:c>
      <x:c r="G129" s="135" t="n">
        <x:v>2020</x:v>
      </x:c>
      <x:c r="H129" s="138" t="n">
        <x:v>28770</x:v>
      </x:c>
      <x:c r="I129" s="141" t="n">
        <x:v>77000</x:v>
      </x:c>
      <x:c r="J129" s="129" t="str">
        <x:v>Sedan</x:v>
      </x:c>
      <x:c r="K129" s="129" t="str">
        <x:v>AWD</x:v>
      </x:c>
      <x:c r="L129" s="129" t="str">
        <x:v>2.0L Turbo I4</x:v>
      </x:c>
      <x:c r="M129" s="129" t="str">
        <x:v>Gasoline</x:v>
      </x:c>
      <x:c r="N129" s="129" t="str">
        <x:v>7-speed S tronic DCT</x:v>
      </x:c>
      <x:c r="O129" s="129" t="str">
        <x:v>Fair Deal</x:v>
      </x:c>
      <x:c r="P129" s="129" t="str">
        <x:v>B9.5</x:v>
      </x:c>
      <x:c r="Q129" s="144" t="str">
        <x:v>quattro</x:v>
      </x:c>
    </x:row>
    <x:row r="130">
      <x:c r="A130" s="129" t="str">
        <x:v>AUD4_020</x:v>
      </x:c>
      <x:c r="B130" s="132" t="n">
        <x:v>46233</x:v>
      </x:c>
      <x:c r="C130" s="129" t="str">
        <x:v>Guelph</x:v>
      </x:c>
      <x:c r="D130" s="129" t="str">
        <x:v>Audi</x:v>
      </x:c>
      <x:c r="E130" s="129" t="str">
        <x:v>A4</x:v>
      </x:c>
      <x:c r="F130" s="129" t="str">
        <x:v>Technik</x:v>
      </x:c>
      <x:c r="G130" s="135" t="n">
        <x:v>2020</x:v>
      </x:c>
      <x:c r="H130" s="138" t="n">
        <x:v>29750</x:v>
      </x:c>
      <x:c r="I130" s="141" t="n">
        <x:v>65000</x:v>
      </x:c>
      <x:c r="J130" s="129" t="str">
        <x:v>Sedan</x:v>
      </x:c>
      <x:c r="K130" s="129" t="str">
        <x:v>AWD</x:v>
      </x:c>
      <x:c r="L130" s="129" t="str">
        <x:v>2.0L Turbo I4</x:v>
      </x:c>
      <x:c r="M130" s="129" t="str">
        <x:v>Gasoline</x:v>
      </x:c>
      <x:c r="N130" s="129" t="str">
        <x:v>7-speed S tronic DCT</x:v>
      </x:c>
      <x:c r="O130" s="129" t="str">
        <x:v>Fair Deal</x:v>
      </x:c>
      <x:c r="P130" s="129" t="str">
        <x:v>B9.5</x:v>
      </x:c>
      <x:c r="Q130" s="144" t="str">
        <x:v>quattro</x:v>
      </x:c>
    </x:row>
    <x:row r="131">
      <x:c r="A131" s="129" t="str">
        <x:v>AUD4_021</x:v>
      </x:c>
      <x:c r="B131" s="132" t="n">
        <x:v>46233</x:v>
      </x:c>
      <x:c r="C131" s="129" t="str">
        <x:v>Toronto</x:v>
      </x:c>
      <x:c r="D131" s="129" t="str">
        <x:v>Audi</x:v>
      </x:c>
      <x:c r="E131" s="129" t="str">
        <x:v>A4</x:v>
      </x:c>
      <x:c r="F131" s="129" t="str">
        <x:v>Komfort 45 TFSI</x:v>
      </x:c>
      <x:c r="G131" s="135" t="n">
        <x:v>2022</x:v>
      </x:c>
      <x:c r="H131" s="138" t="n">
        <x:v>32860</x:v>
      </x:c>
      <x:c r="I131" s="141" t="n">
        <x:v>35333</x:v>
      </x:c>
      <x:c r="J131" s="129" t="str">
        <x:v>Sedan</x:v>
      </x:c>
      <x:c r="K131" s="129" t="str">
        <x:v>AWD</x:v>
      </x:c>
      <x:c r="L131" s="129" t="str">
        <x:v>2.0L Turbo I4</x:v>
      </x:c>
      <x:c r="M131" s="129" t="str">
        <x:v>Gasoline</x:v>
      </x:c>
      <x:c r="N131" s="129" t="str">
        <x:v>7-speed S tronic DCT</x:v>
      </x:c>
      <x:c r="O131" s="129" t="str">
        <x:v>Fair Deal</x:v>
      </x:c>
      <x:c r="P131" s="129" t="str">
        <x:v>B9.5</x:v>
      </x:c>
      <x:c r="Q131" s="144" t="str">
        <x:v>quattro; Certified Pre-Owned</x:v>
      </x:c>
    </x:row>
    <x:row r="132">
      <x:c r="A132" s="129" t="str">
        <x:v>AUD4_022</x:v>
      </x:c>
      <x:c r="B132" s="132" t="n">
        <x:v>46233</x:v>
      </x:c>
      <x:c r="C132" s="129" t="str">
        <x:v>Toronto</x:v>
      </x:c>
      <x:c r="D132" s="129" t="str">
        <x:v>Audi</x:v>
      </x:c>
      <x:c r="E132" s="129" t="str">
        <x:v>A4</x:v>
      </x:c>
      <x:c r="F132" s="129" t="str">
        <x:v>Komfort</x:v>
      </x:c>
      <x:c r="G132" s="135" t="n">
        <x:v>2020</x:v>
      </x:c>
      <x:c r="H132" s="138" t="n">
        <x:v>24988</x:v>
      </x:c>
      <x:c r="I132" s="141" t="n">
        <x:v>84000</x:v>
      </x:c>
      <x:c r="J132" s="129" t="str">
        <x:v>Sedan</x:v>
      </x:c>
      <x:c r="K132" s="129" t="str">
        <x:v>AWD</x:v>
      </x:c>
      <x:c r="L132" s="129" t="str">
        <x:v>2.0L Turbo I4</x:v>
      </x:c>
      <x:c r="M132" s="129" t="str">
        <x:v>Gasoline</x:v>
      </x:c>
      <x:c r="N132" s="129" t="str">
        <x:v>7-speed S tronic DCT</x:v>
      </x:c>
      <x:c r="O132" s="129" t="str">
        <x:v>Fair Deal</x:v>
      </x:c>
      <x:c r="P132" s="129" t="str">
        <x:v>B9.5</x:v>
      </x:c>
      <x:c r="Q132" s="144" t="str">
        <x:v>quattro</x:v>
      </x:c>
    </x:row>
    <x:row r="133">
      <x:c r="A133" s="129" t="str">
        <x:v>A5SB_001</x:v>
      </x:c>
      <x:c r="B133" s="132" t="n">
        <x:v>46233</x:v>
      </x:c>
      <x:c r="C133" s="129" t="str">
        <x:v>Oakville</x:v>
      </x:c>
      <x:c r="D133" s="129" t="str">
        <x:v>Audi</x:v>
      </x:c>
      <x:c r="E133" s="129" t="str">
        <x:v>A5 Sportback</x:v>
      </x:c>
      <x:c r="F133" s="129" t="str">
        <x:v>Premium Plus 45 TFSI</x:v>
      </x:c>
      <x:c r="G133" s="135" t="n">
        <x:v>2022</x:v>
      </x:c>
      <x:c r="H133" s="138" t="n">
        <x:v>35495</x:v>
      </x:c>
      <x:c r="I133" s="141" t="n">
        <x:v>47200</x:v>
      </x:c>
      <x:c r="J133" s="129" t="str">
        <x:v>Sportback</x:v>
      </x:c>
      <x:c r="K133" s="129" t="str">
        <x:v>AWD</x:v>
      </x:c>
      <x:c r="L133" s="129" t="str">
        <x:v>2.0L Turbo I4</x:v>
      </x:c>
      <x:c r="M133" s="129" t="str">
        <x:v>Gasoline</x:v>
      </x:c>
      <x:c r="N133" s="129" t="str">
        <x:v>7-speed S tronic DCT</x:v>
      </x:c>
      <x:c r="O133" s="129" t="str">
        <x:v>Good Deal</x:v>
      </x:c>
      <x:c r="P133" s="129" t="str">
        <x:v>B9.5</x:v>
      </x:c>
      <x:c r="Q133" s="144" t="str">
        <x:v>quattro; US-style trim name; duplicate listing removed</x:v>
      </x:c>
    </x:row>
    <x:row r="134">
      <x:c r="A134" s="129" t="str">
        <x:v>A5SB_002</x:v>
      </x:c>
      <x:c r="B134" s="132" t="n">
        <x:v>46233</x:v>
      </x:c>
      <x:c r="C134" s="129" t="str">
        <x:v>Mississauga</x:v>
      </x:c>
      <x:c r="D134" s="129" t="str">
        <x:v>Audi</x:v>
      </x:c>
      <x:c r="E134" s="129" t="str">
        <x:v>A5 Sportback</x:v>
      </x:c>
      <x:c r="F134" s="129" t="str">
        <x:v>Progressiv</x:v>
      </x:c>
      <x:c r="G134" s="135" t="n">
        <x:v>2021</x:v>
      </x:c>
      <x:c r="H134" s="138" t="n">
        <x:v>32995</x:v>
      </x:c>
      <x:c r="I134" s="141" t="n">
        <x:v>61409</x:v>
      </x:c>
      <x:c r="J134" s="129" t="str">
        <x:v>Sportback</x:v>
      </x:c>
      <x:c r="K134" s="129" t="str">
        <x:v>AWD</x:v>
      </x:c>
      <x:c r="L134" s="129" t="str">
        <x:v>2.0L Turbo I4</x:v>
      </x:c>
      <x:c r="M134" s="129" t="str">
        <x:v>Gasoline</x:v>
      </x:c>
      <x:c r="N134" s="129" t="str">
        <x:v>7-speed S tronic DCT</x:v>
      </x:c>
      <x:c r="O134" s="129" t="str">
        <x:v>Great Deal</x:v>
      </x:c>
      <x:c r="P134" s="129" t="str">
        <x:v>B9.5</x:v>
      </x:c>
      <x:c r="Q134" s="144" t="str">
        <x:v>quattro</x:v>
      </x:c>
    </x:row>
    <x:row r="135">
      <x:c r="A135" s="129" t="str">
        <x:v>A5SB_003</x:v>
      </x:c>
      <x:c r="B135" s="132" t="n">
        <x:v>46233</x:v>
      </x:c>
      <x:c r="C135" s="129" t="str">
        <x:v>Whitby</x:v>
      </x:c>
      <x:c r="D135" s="129" t="str">
        <x:v>Audi</x:v>
      </x:c>
      <x:c r="E135" s="129" t="str">
        <x:v>A5 Sportback</x:v>
      </x:c>
      <x:c r="F135" s="129" t="str">
        <x:v>Progressiv</x:v>
      </x:c>
      <x:c r="G135" s="135" t="n">
        <x:v>2020</x:v>
      </x:c>
      <x:c r="H135" s="138" t="n">
        <x:v>28990</x:v>
      </x:c>
      <x:c r="I135" s="141" t="n">
        <x:v>69500</x:v>
      </x:c>
      <x:c r="J135" s="129" t="str">
        <x:v>Sportback</x:v>
      </x:c>
      <x:c r="K135" s="129" t="str">
        <x:v>AWD</x:v>
      </x:c>
      <x:c r="L135" s="129" t="str">
        <x:v>2.0L Turbo I4</x:v>
      </x:c>
      <x:c r="M135" s="129" t="str">
        <x:v>Gasoline</x:v>
      </x:c>
      <x:c r="N135" s="129" t="str">
        <x:v>7-speed S tronic DCT</x:v>
      </x:c>
      <x:c r="O135" s="129" t="str">
        <x:v>Great Deal</x:v>
      </x:c>
      <x:c r="P135" s="129" t="str">
        <x:v>B9</x:v>
      </x:c>
      <x:c r="Q135" s="144" t="str">
        <x:v>quattro</x:v>
      </x:c>
    </x:row>
    <x:row r="136">
      <x:c r="A136" s="129" t="str">
        <x:v>A5SB_004</x:v>
      </x:c>
      <x:c r="B136" s="132" t="n">
        <x:v>46233</x:v>
      </x:c>
      <x:c r="C136" s="129" t="str">
        <x:v>St-Laurent</x:v>
      </x:c>
      <x:c r="D136" s="129" t="str">
        <x:v>Audi</x:v>
      </x:c>
      <x:c r="E136" s="129" t="str">
        <x:v>A5 Sportback</x:v>
      </x:c>
      <x:c r="F136" s="129" t="str">
        <x:v>Technik 45 TFSI</x:v>
      </x:c>
      <x:c r="G136" s="135" t="n">
        <x:v>2023</x:v>
      </x:c>
      <x:c r="H136" s="138" t="n">
        <x:v>40517</x:v>
      </x:c>
      <x:c r="I136" s="141" t="n">
        <x:v>41003</x:v>
      </x:c>
      <x:c r="J136" s="129" t="str">
        <x:v>Sportback</x:v>
      </x:c>
      <x:c r="K136" s="129" t="str">
        <x:v>AWD</x:v>
      </x:c>
      <x:c r="L136" s="129" t="str">
        <x:v>2.0L Turbo I4</x:v>
      </x:c>
      <x:c r="M136" s="129" t="str">
        <x:v>Gasoline</x:v>
      </x:c>
      <x:c r="N136" s="129" t="str">
        <x:v>7-speed S tronic DCT</x:v>
      </x:c>
      <x:c r="O136" s="129" t="str">
        <x:v>Great Deal</x:v>
      </x:c>
      <x:c r="P136" s="129" t="str">
        <x:v>B9.5</x:v>
      </x:c>
      <x:c r="Q136" s="144" t="str">
        <x:v>quattro; Certified Pre-Owned; price includes $522 shipping</x:v>
      </x:c>
    </x:row>
    <x:row r="137">
      <x:c r="A137" s="129" t="str">
        <x:v>A5SB_005</x:v>
      </x:c>
      <x:c r="B137" s="132" t="n">
        <x:v>46233</x:v>
      </x:c>
      <x:c r="C137" s="129" t="str">
        <x:v>Toronto</x:v>
      </x:c>
      <x:c r="D137" s="129" t="str">
        <x:v>Audi</x:v>
      </x:c>
      <x:c r="E137" s="129" t="str">
        <x:v>A5 Sportback</x:v>
      </x:c>
      <x:c r="F137" s="129" t="str">
        <x:v>Prestige S Line 45 TFSI</x:v>
      </x:c>
      <x:c r="G137" s="135" t="n">
        <x:v>2024</x:v>
      </x:c>
      <x:c r="H137" s="138" t="n">
        <x:v>42895</x:v>
      </x:c>
      <x:c r="I137" s="141" t="n">
        <x:v>28755</x:v>
      </x:c>
      <x:c r="J137" s="129" t="str">
        <x:v>Sportback</x:v>
      </x:c>
      <x:c r="K137" s="129" t="str">
        <x:v>AWD</x:v>
      </x:c>
      <x:c r="L137" s="129" t="str">
        <x:v>2.0L Turbo I4</x:v>
      </x:c>
      <x:c r="M137" s="129" t="str">
        <x:v>Gasoline</x:v>
      </x:c>
      <x:c r="N137" s="129" t="str">
        <x:v>7-speed S tronic DCT</x:v>
      </x:c>
      <x:c r="O137" s="129" t="str">
        <x:v>Great Deal</x:v>
      </x:c>
      <x:c r="P137" s="129" t="str">
        <x:v>B9.5</x:v>
      </x:c>
      <x:c r="Q137" s="144" t="str">
        <x:v>quattro; US-style trim name; verify import status</x:v>
      </x:c>
    </x:row>
    <x:row r="138">
      <x:c r="A138" s="129" t="str">
        <x:v>A5SB_006</x:v>
      </x:c>
      <x:c r="B138" s="132" t="n">
        <x:v>46233</x:v>
      </x:c>
      <x:c r="C138" s="129" t="str">
        <x:v>North York</x:v>
      </x:c>
      <x:c r="D138" s="129" t="str">
        <x:v>Audi</x:v>
      </x:c>
      <x:c r="E138" s="129" t="str">
        <x:v>A5 Sportback</x:v>
      </x:c>
      <x:c r="F138" s="129" t="str">
        <x:v>Premium Plus 45 TFSI</x:v>
      </x:c>
      <x:c r="G138" s="135" t="n">
        <x:v>2022</x:v>
      </x:c>
      <x:c r="H138" s="138" t="n">
        <x:v>32980</x:v>
      </x:c>
      <x:c r="I138" s="141" t="n">
        <x:v>82951</x:v>
      </x:c>
      <x:c r="J138" s="129" t="str">
        <x:v>Sportback</x:v>
      </x:c>
      <x:c r="K138" s="129" t="str">
        <x:v>AWD</x:v>
      </x:c>
      <x:c r="L138" s="129" t="str">
        <x:v>2.0L Turbo I4</x:v>
      </x:c>
      <x:c r="M138" s="129" t="str">
        <x:v>Gasoline</x:v>
      </x:c>
      <x:c r="N138" s="129" t="str">
        <x:v>7-speed S tronic DCT</x:v>
      </x:c>
      <x:c r="O138" s="129" t="str">
        <x:v>Good Deal</x:v>
      </x:c>
      <x:c r="P138" s="129" t="str">
        <x:v>B9.5</x:v>
      </x:c>
      <x:c r="Q138" s="144" t="str">
        <x:v>quattro; US-style trim name; verify import status</x:v>
      </x:c>
    </x:row>
    <x:row r="139">
      <x:c r="A139" s="129" t="str">
        <x:v>A5SB_007</x:v>
      </x:c>
      <x:c r="B139" s="132" t="n">
        <x:v>46233</x:v>
      </x:c>
      <x:c r="C139" s="129" t="str">
        <x:v>Markham</x:v>
      </x:c>
      <x:c r="D139" s="129" t="str">
        <x:v>Audi</x:v>
      </x:c>
      <x:c r="E139" s="129" t="str">
        <x:v>A5 Sportback</x:v>
      </x:c>
      <x:c r="F139" s="129" t="str">
        <x:v>Technik 45 TFSI</x:v>
      </x:c>
      <x:c r="G139" s="135" t="n">
        <x:v>2023</x:v>
      </x:c>
      <x:c r="H139" s="138" t="n">
        <x:v>35999</x:v>
      </x:c>
      <x:c r="I139" s="141" t="n">
        <x:v>77200</x:v>
      </x:c>
      <x:c r="J139" s="129" t="str">
        <x:v>Sportback</x:v>
      </x:c>
      <x:c r="K139" s="129" t="str">
        <x:v>AWD</x:v>
      </x:c>
      <x:c r="L139" s="129" t="str">
        <x:v>2.0L Turbo I4</x:v>
      </x:c>
      <x:c r="M139" s="129" t="str">
        <x:v>Gasoline</x:v>
      </x:c>
      <x:c r="N139" s="129" t="str">
        <x:v>7-speed S tronic DCT</x:v>
      </x:c>
      <x:c r="O139" s="129" t="str">
        <x:v>Good Deal</x:v>
      </x:c>
      <x:c r="P139" s="129" t="str">
        <x:v>B9.5</x:v>
      </x:c>
      <x:c r="Q139" s="144" t="str">
        <x:v>quattro</x:v>
      </x:c>
    </x:row>
    <x:row r="140">
      <x:c r="A140" s="129" t="str">
        <x:v>A5SB_008</x:v>
      </x:c>
      <x:c r="B140" s="132" t="n">
        <x:v>46233</x:v>
      </x:c>
      <x:c r="C140" s="129" t="str">
        <x:v>Vaughan</x:v>
      </x:c>
      <x:c r="D140" s="129" t="str">
        <x:v>Audi</x:v>
      </x:c>
      <x:c r="E140" s="129" t="str">
        <x:v>A5 Sportback</x:v>
      </x:c>
      <x:c r="F140" s="129" t="str">
        <x:v>Prestige S Line 45 TFSI</x:v>
      </x:c>
      <x:c r="G140" s="135" t="n">
        <x:v>2023</x:v>
      </x:c>
      <x:c r="H140" s="138" t="n">
        <x:v>39898</x:v>
      </x:c>
      <x:c r="I140" s="141" t="n">
        <x:v>50520</x:v>
      </x:c>
      <x:c r="J140" s="129" t="str">
        <x:v>Sportback</x:v>
      </x:c>
      <x:c r="K140" s="129" t="str">
        <x:v>AWD</x:v>
      </x:c>
      <x:c r="L140" s="129" t="str">
        <x:v>2.0L Turbo I4</x:v>
      </x:c>
      <x:c r="M140" s="129" t="str">
        <x:v>Gasoline</x:v>
      </x:c>
      <x:c r="N140" s="129" t="str">
        <x:v>7-speed S tronic DCT</x:v>
      </x:c>
      <x:c r="O140" s="129" t="str">
        <x:v>Good Deal</x:v>
      </x:c>
      <x:c r="P140" s="129" t="str">
        <x:v>B9.5</x:v>
      </x:c>
      <x:c r="Q140" s="144" t="str">
        <x:v>quattro; US-style trim name; verify import status</x:v>
      </x:c>
    </x:row>
    <x:row r="141">
      <x:c r="A141" s="129" t="str">
        <x:v>A5SB_009</x:v>
      </x:c>
      <x:c r="B141" s="132" t="n">
        <x:v>46233</x:v>
      </x:c>
      <x:c r="C141" s="129" t="str">
        <x:v>Vaughan</x:v>
      </x:c>
      <x:c r="D141" s="129" t="str">
        <x:v>Audi</x:v>
      </x:c>
      <x:c r="E141" s="129" t="str">
        <x:v>A5 Sportback</x:v>
      </x:c>
      <x:c r="F141" s="129" t="str">
        <x:v>Technik</x:v>
      </x:c>
      <x:c r="G141" s="135" t="n">
        <x:v>2020</x:v>
      </x:c>
      <x:c r="H141" s="138" t="n">
        <x:v>27998</x:v>
      </x:c>
      <x:c r="I141" s="141" t="n">
        <x:v>91530</x:v>
      </x:c>
      <x:c r="J141" s="129" t="str">
        <x:v>Sportback</x:v>
      </x:c>
      <x:c r="K141" s="129" t="str">
        <x:v>AWD</x:v>
      </x:c>
      <x:c r="L141" s="129" t="str">
        <x:v>2.0L Turbo I4</x:v>
      </x:c>
      <x:c r="M141" s="129" t="str">
        <x:v>Gasoline</x:v>
      </x:c>
      <x:c r="N141" s="129" t="str">
        <x:v>7-speed S tronic DCT</x:v>
      </x:c>
      <x:c r="O141" s="129" t="str">
        <x:v>Good Deal</x:v>
      </x:c>
      <x:c r="P141" s="129" t="str">
        <x:v>B9</x:v>
      </x:c>
      <x:c r="Q141" s="144" t="str">
        <x:v>quattro</x:v>
      </x:c>
    </x:row>
    <x:row r="142">
      <x:c r="A142" s="129" t="str">
        <x:v>A5SB_010</x:v>
      </x:c>
      <x:c r="B142" s="132" t="n">
        <x:v>46233</x:v>
      </x:c>
      <x:c r="C142" s="129" t="str">
        <x:v>Newmarket</x:v>
      </x:c>
      <x:c r="D142" s="129" t="str">
        <x:v>Audi</x:v>
      </x:c>
      <x:c r="E142" s="129" t="str">
        <x:v>A5 Sportback</x:v>
      </x:c>
      <x:c r="F142" s="129" t="str">
        <x:v>Progressiv 45 TFSI</x:v>
      </x:c>
      <x:c r="G142" s="135" t="n">
        <x:v>2023</x:v>
      </x:c>
      <x:c r="H142" s="138" t="n">
        <x:v>33288</x:v>
      </x:c>
      <x:c r="I142" s="141" t="n">
        <x:v>96585</x:v>
      </x:c>
      <x:c r="J142" s="129" t="str">
        <x:v>Sportback</x:v>
      </x:c>
      <x:c r="K142" s="129" t="str">
        <x:v>AWD</x:v>
      </x:c>
      <x:c r="L142" s="129" t="str">
        <x:v>2.0L Turbo I4</x:v>
      </x:c>
      <x:c r="M142" s="129" t="str">
        <x:v>Gasoline</x:v>
      </x:c>
      <x:c r="N142" s="129" t="str">
        <x:v>7-speed S tronic DCT</x:v>
      </x:c>
      <x:c r="O142" s="129" t="str">
        <x:v>Good Deal</x:v>
      </x:c>
      <x:c r="P142" s="129" t="str">
        <x:v>B9.5</x:v>
      </x:c>
      <x:c r="Q142" s="144" t="str">
        <x:v>quattro</x:v>
      </x:c>
    </x:row>
    <x:row r="143">
      <x:c r="A143" s="129" t="str">
        <x:v>A5SB_011</x:v>
      </x:c>
      <x:c r="B143" s="132" t="n">
        <x:v>46233</x:v>
      </x:c>
      <x:c r="C143" s="129" t="str">
        <x:v>Newmarket</x:v>
      </x:c>
      <x:c r="D143" s="129" t="str">
        <x:v>Audi</x:v>
      </x:c>
      <x:c r="E143" s="129" t="str">
        <x:v>A5 Sportback</x:v>
      </x:c>
      <x:c r="F143" s="129" t="str">
        <x:v>Progressiv 45 TFSI</x:v>
      </x:c>
      <x:c r="G143" s="135" t="n">
        <x:v>2023</x:v>
      </x:c>
      <x:c r="H143" s="138" t="n">
        <x:v>36999</x:v>
      </x:c>
      <x:c r="I143" s="141" t="n">
        <x:v>84200</x:v>
      </x:c>
      <x:c r="J143" s="129" t="str">
        <x:v>Sportback</x:v>
      </x:c>
      <x:c r="K143" s="129" t="str">
        <x:v>AWD</x:v>
      </x:c>
      <x:c r="L143" s="129" t="str">
        <x:v>2.0L Turbo I4</x:v>
      </x:c>
      <x:c r="M143" s="129" t="str">
        <x:v>Gasoline</x:v>
      </x:c>
      <x:c r="N143" s="129" t="str">
        <x:v>7-speed S tronic DCT</x:v>
      </x:c>
      <x:c r="O143" s="129" t="str">
        <x:v>Fair Deal</x:v>
      </x:c>
      <x:c r="P143" s="129" t="str">
        <x:v>B9.5</x:v>
      </x:c>
      <x:c r="Q143" s="144" t="str">
        <x:v>quattro; Certified Pre-Owned</x:v>
      </x:c>
    </x:row>
    <x:row r="144">
      <x:c r="A144" s="129" t="str">
        <x:v>A5SB_012</x:v>
      </x:c>
      <x:c r="B144" s="132" t="n">
        <x:v>46233</x:v>
      </x:c>
      <x:c r="C144" s="129" t="str">
        <x:v>Newmarket</x:v>
      </x:c>
      <x:c r="D144" s="129" t="str">
        <x:v>Audi</x:v>
      </x:c>
      <x:c r="E144" s="129" t="str">
        <x:v>A5 Sportback</x:v>
      </x:c>
      <x:c r="F144" s="129" t="str">
        <x:v>Progressiv 45 TFSI</x:v>
      </x:c>
      <x:c r="G144" s="135" t="n">
        <x:v>2024</x:v>
      </x:c>
      <x:c r="H144" s="138" t="n">
        <x:v>43998</x:v>
      </x:c>
      <x:c r="I144" s="141" t="n">
        <x:v>27837</x:v>
      </x:c>
      <x:c r="J144" s="129" t="str">
        <x:v>Sportback</x:v>
      </x:c>
      <x:c r="K144" s="129" t="str">
        <x:v>AWD</x:v>
      </x:c>
      <x:c r="L144" s="129" t="str">
        <x:v>2.0L Turbo I4</x:v>
      </x:c>
      <x:c r="M144" s="129" t="str">
        <x:v>Gasoline</x:v>
      </x:c>
      <x:c r="N144" s="129" t="str">
        <x:v>7-speed S tronic DCT</x:v>
      </x:c>
      <x:c r="O144" s="129" t="str">
        <x:v>Good Deal</x:v>
      </x:c>
      <x:c r="P144" s="129" t="str">
        <x:v>B9.5</x:v>
      </x:c>
      <x:c r="Q144" s="144" t="str">
        <x:v>quattro; duplicate listing removed</x:v>
      </x:c>
    </x:row>
    <x:row r="145">
      <x:c r="A145" s="129" t="str">
        <x:v>A5SB_013</x:v>
      </x:c>
      <x:c r="B145" s="132" t="n">
        <x:v>46233</x:v>
      </x:c>
      <x:c r="C145" s="129" t="str">
        <x:v>Oakville</x:v>
      </x:c>
      <x:c r="D145" s="129" t="str">
        <x:v>Audi</x:v>
      </x:c>
      <x:c r="E145" s="129" t="str">
        <x:v>A5 Sportback</x:v>
      </x:c>
      <x:c r="F145" s="129" t="str">
        <x:v>Progressiv 45 TFSI</x:v>
      </x:c>
      <x:c r="G145" s="135" t="n">
        <x:v>2023</x:v>
      </x:c>
      <x:c r="H145" s="138" t="n">
        <x:v>37950</x:v>
      </x:c>
      <x:c r="I145" s="141" t="n">
        <x:v>56401</x:v>
      </x:c>
      <x:c r="J145" s="129" t="str">
        <x:v>Sportback</x:v>
      </x:c>
      <x:c r="K145" s="129" t="str">
        <x:v>AWD</x:v>
      </x:c>
      <x:c r="L145" s="129" t="str">
        <x:v>2.0L Turbo I4</x:v>
      </x:c>
      <x:c r="M145" s="129" t="str">
        <x:v>Gasoline</x:v>
      </x:c>
      <x:c r="N145" s="129" t="str">
        <x:v>7-speed S tronic DCT</x:v>
      </x:c>
      <x:c r="O145" s="129" t="str">
        <x:v>Good Deal</x:v>
      </x:c>
      <x:c r="P145" s="129" t="str">
        <x:v>B9.5</x:v>
      </x:c>
      <x:c r="Q145" s="144" t="str">
        <x:v>quattro; Certified Pre-Owned; $1,500 price reduction</x:v>
      </x:c>
    </x:row>
    <x:row r="146">
      <x:c r="A146" s="129" t="str">
        <x:v>A5SB_014</x:v>
      </x:c>
      <x:c r="B146" s="132" t="n">
        <x:v>46233</x:v>
      </x:c>
      <x:c r="C146" s="129" t="str">
        <x:v>Toronto</x:v>
      </x:c>
      <x:c r="D146" s="129" t="str">
        <x:v>Audi</x:v>
      </x:c>
      <x:c r="E146" s="129" t="str">
        <x:v>A5 Sportback</x:v>
      </x:c>
      <x:c r="F146" s="129" t="str">
        <x:v>Progressiv</x:v>
      </x:c>
      <x:c r="G146" s="135" t="n">
        <x:v>2020</x:v>
      </x:c>
      <x:c r="H146" s="138" t="n">
        <x:v>24998</x:v>
      </x:c>
      <x:c r="I146" s="141" t="n">
        <x:v>115327</x:v>
      </x:c>
      <x:c r="J146" s="129" t="str">
        <x:v>Sportback</x:v>
      </x:c>
      <x:c r="K146" s="129" t="str">
        <x:v>AWD</x:v>
      </x:c>
      <x:c r="L146" s="129" t="str">
        <x:v>2.0L Turbo I4</x:v>
      </x:c>
      <x:c r="M146" s="129" t="str">
        <x:v>Gasoline</x:v>
      </x:c>
      <x:c r="N146" s="129" t="str">
        <x:v>7-speed S tronic DCT</x:v>
      </x:c>
      <x:c r="O146" s="129" t="str">
        <x:v>Good Deal</x:v>
      </x:c>
      <x:c r="P146" s="129" t="str">
        <x:v>B9</x:v>
      </x:c>
      <x:c r="Q146" s="144" t="str">
        <x:v>quattro</x:v>
      </x:c>
    </x:row>
    <x:row r="147">
      <x:c r="A147" s="129" t="str">
        <x:v>BMW3_001</x:v>
      </x:c>
      <x:c r="B147" s="132" t="n">
        <x:v>46233</x:v>
      </x:c>
      <x:c r="C147" s="129" t="str">
        <x:v>North York</x:v>
      </x:c>
      <x:c r="D147" s="129" t="str">
        <x:v>BMW</x:v>
      </x:c>
      <x:c r="E147" s="129" t="str">
        <x:v>3 Series</x:v>
      </x:c>
      <x:c r="F147" s="129" t="str">
        <x:v>330i xDrive</x:v>
      </x:c>
      <x:c r="G147" s="135" t="n">
        <x:v>2024</x:v>
      </x:c>
      <x:c r="H147" s="138" t="n">
        <x:v>37980</x:v>
      </x:c>
      <x:c r="I147" s="141" t="n">
        <x:v>44866</x:v>
      </x:c>
      <x:c r="J147" s="129" t="str">
        <x:v>Sedan</x:v>
      </x:c>
      <x:c r="K147" s="129" t="str">
        <x:v>AWD</x:v>
      </x:c>
      <x:c r="L147" s="129" t="str">
        <x:v>2.0L Turbo I4</x:v>
      </x:c>
      <x:c r="M147" s="129" t="str">
        <x:v>Gasoline</x:v>
      </x:c>
      <x:c r="N147" s="129" t="str">
        <x:v>8-speed Automatic</x:v>
      </x:c>
      <x:c r="O147" s="129" t="str">
        <x:v>Great Deal</x:v>
      </x:c>
      <x:c r="P147" s="129" t="str">
        <x:v>G20 LCI</x:v>
      </x:c>
      <x:c r="Q147" s="144" t="str"/>
    </x:row>
    <x:row r="148">
      <x:c r="A148" s="129" t="str">
        <x:v>BMW3_002</x:v>
      </x:c>
      <x:c r="B148" s="132" t="n">
        <x:v>46233</x:v>
      </x:c>
      <x:c r="C148" s="129" t="str">
        <x:v>Toronto</x:v>
      </x:c>
      <x:c r="D148" s="129" t="str">
        <x:v>BMW</x:v>
      </x:c>
      <x:c r="E148" s="129" t="str">
        <x:v>3 Series</x:v>
      </x:c>
      <x:c r="F148" s="129" t="str">
        <x:v>330i xDrive</x:v>
      </x:c>
      <x:c r="G148" s="135" t="n">
        <x:v>2025</x:v>
      </x:c>
      <x:c r="H148" s="138" t="n">
        <x:v>54988</x:v>
      </x:c>
      <x:c r="I148" s="141" t="n">
        <x:v>14000</x:v>
      </x:c>
      <x:c r="J148" s="129" t="str">
        <x:v>Sedan</x:v>
      </x:c>
      <x:c r="K148" s="129" t="str">
        <x:v>AWD</x:v>
      </x:c>
      <x:c r="L148" s="129" t="str">
        <x:v>2.0L Turbo I4</x:v>
      </x:c>
      <x:c r="M148" s="129" t="str">
        <x:v>Gasoline</x:v>
      </x:c>
      <x:c r="N148" s="129" t="str">
        <x:v>8-speed Automatic</x:v>
      </x:c>
      <x:c r="O148" s="129" t="str">
        <x:v>Great Deal</x:v>
      </x:c>
      <x:c r="P148" s="129" t="str">
        <x:v>G20 LCI</x:v>
      </x:c>
      <x:c r="Q148" s="144" t="str">
        <x:v>low mileage</x:v>
      </x:c>
    </x:row>
    <x:row r="149">
      <x:c r="A149" s="129" t="str">
        <x:v>BMW3_003</x:v>
      </x:c>
      <x:c r="B149" s="132" t="n">
        <x:v>46233</x:v>
      </x:c>
      <x:c r="C149" s="129" t="str">
        <x:v>Concord</x:v>
      </x:c>
      <x:c r="D149" s="129" t="str">
        <x:v>BMW</x:v>
      </x:c>
      <x:c r="E149" s="129" t="str">
        <x:v>3 Series</x:v>
      </x:c>
      <x:c r="F149" s="129" t="str">
        <x:v>330i xDrive</x:v>
      </x:c>
      <x:c r="G149" s="135" t="n">
        <x:v>2023</x:v>
      </x:c>
      <x:c r="H149" s="138" t="n">
        <x:v>31950</x:v>
      </x:c>
      <x:c r="I149" s="141" t="n">
        <x:v>78578</x:v>
      </x:c>
      <x:c r="J149" s="129" t="str">
        <x:v>Sedan</x:v>
      </x:c>
      <x:c r="K149" s="129" t="str">
        <x:v>AWD</x:v>
      </x:c>
      <x:c r="L149" s="129" t="str">
        <x:v>2.0L Turbo I4</x:v>
      </x:c>
      <x:c r="M149" s="129" t="str">
        <x:v>Gasoline</x:v>
      </x:c>
      <x:c r="N149" s="129" t="str">
        <x:v>8-speed Automatic</x:v>
      </x:c>
      <x:c r="O149" s="129" t="str">
        <x:v>Great Deal</x:v>
      </x:c>
      <x:c r="P149" s="129" t="str">
        <x:v>G20 LCI</x:v>
      </x:c>
      <x:c r="Q149" s="144" t="str"/>
    </x:row>
    <x:row r="150">
      <x:c r="A150" s="129" t="str">
        <x:v>BMW3_004</x:v>
      </x:c>
      <x:c r="B150" s="132" t="n">
        <x:v>46233</x:v>
      </x:c>
      <x:c r="C150" s="129" t="str">
        <x:v>North York</x:v>
      </x:c>
      <x:c r="D150" s="129" t="str">
        <x:v>BMW</x:v>
      </x:c>
      <x:c r="E150" s="129" t="str">
        <x:v>3 Series</x:v>
      </x:c>
      <x:c r="F150" s="129" t="str">
        <x:v>330i xDrive</x:v>
      </x:c>
      <x:c r="G150" s="135" t="n">
        <x:v>2023</x:v>
      </x:c>
      <x:c r="H150" s="138" t="n">
        <x:v>39689</x:v>
      </x:c>
      <x:c r="I150" s="141" t="n">
        <x:v>11385</x:v>
      </x:c>
      <x:c r="J150" s="129" t="str">
        <x:v>Sedan</x:v>
      </x:c>
      <x:c r="K150" s="129" t="str">
        <x:v>AWD</x:v>
      </x:c>
      <x:c r="L150" s="129" t="str">
        <x:v>2.0L Turbo I4</x:v>
      </x:c>
      <x:c r="M150" s="129" t="str">
        <x:v>Gasoline</x:v>
      </x:c>
      <x:c r="N150" s="129" t="str">
        <x:v>8-speed Automatic</x:v>
      </x:c>
      <x:c r="O150" s="129" t="str">
        <x:v>Great Deal</x:v>
      </x:c>
      <x:c r="P150" s="129" t="str">
        <x:v>G20 LCI</x:v>
      </x:c>
      <x:c r="Q150" s="144" t="str">
        <x:v>Certified Pre-Owned; $4,303 price reduction; low mileage</x:v>
      </x:c>
    </x:row>
    <x:row r="151">
      <x:c r="A151" s="129" t="str">
        <x:v>BMW3_005</x:v>
      </x:c>
      <x:c r="B151" s="132" t="n">
        <x:v>46233</x:v>
      </x:c>
      <x:c r="C151" s="129" t="str">
        <x:v>North York</x:v>
      </x:c>
      <x:c r="D151" s="129" t="str">
        <x:v>BMW</x:v>
      </x:c>
      <x:c r="E151" s="129" t="str">
        <x:v>3 Series</x:v>
      </x:c>
      <x:c r="F151" s="129" t="str">
        <x:v>330i xDrive</x:v>
      </x:c>
      <x:c r="G151" s="135" t="n">
        <x:v>2021</x:v>
      </x:c>
      <x:c r="H151" s="138" t="n">
        <x:v>19995</x:v>
      </x:c>
      <x:c r="I151" s="141" t="n">
        <x:v>146574</x:v>
      </x:c>
      <x:c r="J151" s="129" t="str">
        <x:v>Sedan</x:v>
      </x:c>
      <x:c r="K151" s="129" t="str">
        <x:v>AWD</x:v>
      </x:c>
      <x:c r="L151" s="129" t="str">
        <x:v>2.0L Turbo I4</x:v>
      </x:c>
      <x:c r="M151" s="129" t="str">
        <x:v>Gasoline</x:v>
      </x:c>
      <x:c r="N151" s="129" t="str">
        <x:v>8-speed Automatic</x:v>
      </x:c>
      <x:c r="O151" s="129" t="str">
        <x:v>Great Deal</x:v>
      </x:c>
      <x:c r="P151" s="129" t="str">
        <x:v>G20</x:v>
      </x:c>
      <x:c r="Q151" s="144" t="str">
        <x:v>high mileage</x:v>
      </x:c>
    </x:row>
    <x:row r="152">
      <x:c r="A152" s="129" t="str">
        <x:v>BMW3_006</x:v>
      </x:c>
      <x:c r="B152" s="132" t="n">
        <x:v>46233</x:v>
      </x:c>
      <x:c r="C152" s="129" t="str">
        <x:v>Oakville</x:v>
      </x:c>
      <x:c r="D152" s="129" t="str">
        <x:v>BMW</x:v>
      </x:c>
      <x:c r="E152" s="129" t="str">
        <x:v>3 Series</x:v>
      </x:c>
      <x:c r="F152" s="129" t="str">
        <x:v>330i xDrive</x:v>
      </x:c>
      <x:c r="G152" s="135" t="n">
        <x:v>2022</x:v>
      </x:c>
      <x:c r="H152" s="138" t="n">
        <x:v>25990</x:v>
      </x:c>
      <x:c r="I152" s="141" t="n">
        <x:v>91880</x:v>
      </x:c>
      <x:c r="J152" s="129" t="str">
        <x:v>Sedan</x:v>
      </x:c>
      <x:c r="K152" s="129" t="str">
        <x:v>AWD</x:v>
      </x:c>
      <x:c r="L152" s="129" t="str">
        <x:v>2.0L Turbo I4</x:v>
      </x:c>
      <x:c r="M152" s="129" t="str">
        <x:v>Gasoline</x:v>
      </x:c>
      <x:c r="N152" s="129" t="str">
        <x:v>8-speed Automatic</x:v>
      </x:c>
      <x:c r="O152" s="129" t="str">
        <x:v>Great Deal</x:v>
      </x:c>
      <x:c r="P152" s="129" t="str">
        <x:v>G20</x:v>
      </x:c>
      <x:c r="Q152" s="144" t="str"/>
    </x:row>
    <x:row r="153">
      <x:c r="A153" s="129" t="str">
        <x:v>BMW3_007</x:v>
      </x:c>
      <x:c r="B153" s="132" t="n">
        <x:v>46233</x:v>
      </x:c>
      <x:c r="C153" s="129" t="str">
        <x:v>North York</x:v>
      </x:c>
      <x:c r="D153" s="129" t="str">
        <x:v>BMW</x:v>
      </x:c>
      <x:c r="E153" s="129" t="str">
        <x:v>3 Series</x:v>
      </x:c>
      <x:c r="F153" s="129" t="str">
        <x:v>330i xDrive</x:v>
      </x:c>
      <x:c r="G153" s="135" t="n">
        <x:v>2022</x:v>
      </x:c>
      <x:c r="H153" s="138" t="n">
        <x:v>32888</x:v>
      </x:c>
      <x:c r="I153" s="141" t="n">
        <x:v>58404</x:v>
      </x:c>
      <x:c r="J153" s="129" t="str">
        <x:v>Sedan</x:v>
      </x:c>
      <x:c r="K153" s="129" t="str">
        <x:v>AWD</x:v>
      </x:c>
      <x:c r="L153" s="129" t="str">
        <x:v>2.0L Turbo I4</x:v>
      </x:c>
      <x:c r="M153" s="129" t="str">
        <x:v>Gasoline</x:v>
      </x:c>
      <x:c r="N153" s="129" t="str">
        <x:v>8-speed Automatic</x:v>
      </x:c>
      <x:c r="O153" s="129" t="str">
        <x:v>Good Deal</x:v>
      </x:c>
      <x:c r="P153" s="129" t="str">
        <x:v>G20</x:v>
      </x:c>
      <x:c r="Q153" s="144" t="str"/>
    </x:row>
    <x:row r="154">
      <x:c r="A154" s="129" t="str">
        <x:v>BMW3_008</x:v>
      </x:c>
      <x:c r="B154" s="132" t="n">
        <x:v>46233</x:v>
      </x:c>
      <x:c r="C154" s="129" t="str">
        <x:v>Mississauga</x:v>
      </x:c>
      <x:c r="D154" s="129" t="str">
        <x:v>BMW</x:v>
      </x:c>
      <x:c r="E154" s="129" t="str">
        <x:v>3 Series</x:v>
      </x:c>
      <x:c r="F154" s="129" t="str">
        <x:v>330i xDrive</x:v>
      </x:c>
      <x:c r="G154" s="135" t="n">
        <x:v>2020</x:v>
      </x:c>
      <x:c r="H154" s="138" t="n">
        <x:v>21999</x:v>
      </x:c>
      <x:c r="I154" s="141" t="n">
        <x:v>134000</x:v>
      </x:c>
      <x:c r="J154" s="129" t="str">
        <x:v>Sedan</x:v>
      </x:c>
      <x:c r="K154" s="129" t="str">
        <x:v>AWD</x:v>
      </x:c>
      <x:c r="L154" s="129" t="str">
        <x:v>2.0L Turbo I4</x:v>
      </x:c>
      <x:c r="M154" s="129" t="str">
        <x:v>Gasoline</x:v>
      </x:c>
      <x:c r="N154" s="129" t="str">
        <x:v>8-speed Automatic</x:v>
      </x:c>
      <x:c r="O154" s="129" t="str">
        <x:v>Good Deal</x:v>
      </x:c>
      <x:c r="P154" s="129" t="str">
        <x:v>G20</x:v>
      </x:c>
      <x:c r="Q154" s="144" t="str">
        <x:v>high mileage</x:v>
      </x:c>
    </x:row>
    <x:row r="155">
      <x:c r="A155" s="129" t="str">
        <x:v>BMW3_009</x:v>
      </x:c>
      <x:c r="B155" s="132" t="n">
        <x:v>46233</x:v>
      </x:c>
      <x:c r="C155" s="129" t="str">
        <x:v>North York</x:v>
      </x:c>
      <x:c r="D155" s="129" t="str">
        <x:v>BMW</x:v>
      </x:c>
      <x:c r="E155" s="129" t="str">
        <x:v>3 Series</x:v>
      </x:c>
      <x:c r="F155" s="129" t="str">
        <x:v>330i xDrive</x:v>
      </x:c>
      <x:c r="G155" s="135" t="n">
        <x:v>2020</x:v>
      </x:c>
      <x:c r="H155" s="138" t="n">
        <x:v>25495</x:v>
      </x:c>
      <x:c r="I155" s="141" t="n">
        <x:v>117632</x:v>
      </x:c>
      <x:c r="J155" s="129" t="str">
        <x:v>Sedan</x:v>
      </x:c>
      <x:c r="K155" s="129" t="str">
        <x:v>AWD</x:v>
      </x:c>
      <x:c r="L155" s="129" t="str">
        <x:v>2.0L Turbo I4</x:v>
      </x:c>
      <x:c r="M155" s="129" t="str">
        <x:v>Gasoline</x:v>
      </x:c>
      <x:c r="N155" s="129" t="str">
        <x:v>8-speed Automatic</x:v>
      </x:c>
      <x:c r="O155" s="129" t="str">
        <x:v>Good Deal</x:v>
      </x:c>
      <x:c r="P155" s="129" t="str">
        <x:v>G20</x:v>
      </x:c>
      <x:c r="Q155" s="144" t="str"/>
    </x:row>
    <x:row r="156">
      <x:c r="A156" s="129" t="str">
        <x:v>BMW3_010</x:v>
      </x:c>
      <x:c r="B156" s="132" t="n">
        <x:v>46233</x:v>
      </x:c>
      <x:c r="C156" s="129" t="str">
        <x:v>North York</x:v>
      </x:c>
      <x:c r="D156" s="129" t="str">
        <x:v>BMW</x:v>
      </x:c>
      <x:c r="E156" s="129" t="str">
        <x:v>3 Series</x:v>
      </x:c>
      <x:c r="F156" s="129" t="str">
        <x:v>330i xDrive</x:v>
      </x:c>
      <x:c r="G156" s="135" t="n">
        <x:v>2025</x:v>
      </x:c>
      <x:c r="H156" s="138" t="n">
        <x:v>48770</x:v>
      </x:c>
      <x:c r="I156" s="141" t="n">
        <x:v>29000</x:v>
      </x:c>
      <x:c r="J156" s="129" t="str">
        <x:v>Sedan</x:v>
      </x:c>
      <x:c r="K156" s="129" t="str">
        <x:v>AWD</x:v>
      </x:c>
      <x:c r="L156" s="129" t="str">
        <x:v>2.0L Turbo I4</x:v>
      </x:c>
      <x:c r="M156" s="129" t="str">
        <x:v>Gasoline</x:v>
      </x:c>
      <x:c r="N156" s="129" t="str">
        <x:v>8-speed Automatic</x:v>
      </x:c>
      <x:c r="O156" s="129" t="str">
        <x:v>Good Deal</x:v>
      </x:c>
      <x:c r="P156" s="129" t="str">
        <x:v>G20 LCI</x:v>
      </x:c>
      <x:c r="Q156" s="144" t="str"/>
    </x:row>
    <x:row r="157">
      <x:c r="A157" s="129" t="str">
        <x:v>BMW3_011</x:v>
      </x:c>
      <x:c r="B157" s="132" t="n">
        <x:v>46233</x:v>
      </x:c>
      <x:c r="C157" s="129" t="str">
        <x:v>Mississauga</x:v>
      </x:c>
      <x:c r="D157" s="129" t="str">
        <x:v>BMW</x:v>
      </x:c>
      <x:c r="E157" s="129" t="str">
        <x:v>3 Series</x:v>
      </x:c>
      <x:c r="F157" s="129" t="str">
        <x:v>330i xDrive</x:v>
      </x:c>
      <x:c r="G157" s="135" t="n">
        <x:v>2023</x:v>
      </x:c>
      <x:c r="H157" s="138" t="n">
        <x:v>38999</x:v>
      </x:c>
      <x:c r="I157" s="141" t="n">
        <x:v>33960</x:v>
      </x:c>
      <x:c r="J157" s="129" t="str">
        <x:v>Sedan</x:v>
      </x:c>
      <x:c r="K157" s="129" t="str">
        <x:v>AWD</x:v>
      </x:c>
      <x:c r="L157" s="129" t="str">
        <x:v>2.0L Turbo I4</x:v>
      </x:c>
      <x:c r="M157" s="129" t="str">
        <x:v>Gasoline</x:v>
      </x:c>
      <x:c r="N157" s="129" t="str">
        <x:v>8-speed Automatic</x:v>
      </x:c>
      <x:c r="O157" s="129" t="str">
        <x:v>Good Deal</x:v>
      </x:c>
      <x:c r="P157" s="129" t="str">
        <x:v>G20 LCI</x:v>
      </x:c>
      <x:c r="Q157" s="144" t="str">
        <x:v>$801 price reduction</x:v>
      </x:c>
    </x:row>
    <x:row r="158">
      <x:c r="A158" s="129" t="str">
        <x:v>BMW3_012</x:v>
      </x:c>
      <x:c r="B158" s="132" t="n">
        <x:v>46233</x:v>
      </x:c>
      <x:c r="C158" s="129" t="str">
        <x:v>Sarnia</x:v>
      </x:c>
      <x:c r="D158" s="129" t="str">
        <x:v>BMW</x:v>
      </x:c>
      <x:c r="E158" s="129" t="str">
        <x:v>3 Series</x:v>
      </x:c>
      <x:c r="F158" s="129" t="str">
        <x:v>330i xDrive</x:v>
      </x:c>
      <x:c r="G158" s="135" t="n">
        <x:v>2025</x:v>
      </x:c>
      <x:c r="H158" s="138" t="n">
        <x:v>64495</x:v>
      </x:c>
      <x:c r="I158" s="141" t="n">
        <x:v>370</x:v>
      </x:c>
      <x:c r="J158" s="129" t="str">
        <x:v>Sedan</x:v>
      </x:c>
      <x:c r="K158" s="129" t="str">
        <x:v>AWD</x:v>
      </x:c>
      <x:c r="L158" s="129" t="str">
        <x:v>2.0L Turbo I4</x:v>
      </x:c>
      <x:c r="M158" s="129" t="str">
        <x:v>Gasoline</x:v>
      </x:c>
      <x:c r="N158" s="129" t="str">
        <x:v>8-speed Automatic</x:v>
      </x:c>
      <x:c r="O158" s="129" t="str">
        <x:v>Good Deal</x:v>
      </x:c>
      <x:c r="P158" s="129" t="str">
        <x:v>G20 LCI</x:v>
      </x:c>
      <x:c r="Q158" s="144" t="str">
        <x:v>almost new; unusually low mileage</x:v>
      </x:c>
    </x:row>
    <x:row r="159">
      <x:c r="A159" s="129" t="str">
        <x:v>BMW3_013</x:v>
      </x:c>
      <x:c r="B159" s="132" t="n">
        <x:v>46233</x:v>
      </x:c>
      <x:c r="C159" s="129" t="str">
        <x:v>Oakville</x:v>
      </x:c>
      <x:c r="D159" s="129" t="str">
        <x:v>BMW</x:v>
      </x:c>
      <x:c r="E159" s="129" t="str">
        <x:v>3 Series</x:v>
      </x:c>
      <x:c r="F159" s="129" t="str">
        <x:v>330i xDrive</x:v>
      </x:c>
      <x:c r="G159" s="135" t="n">
        <x:v>2020</x:v>
      </x:c>
      <x:c r="H159" s="138" t="n">
        <x:v>25988</x:v>
      </x:c>
      <x:c r="I159" s="141" t="n">
        <x:v>83000</x:v>
      </x:c>
      <x:c r="J159" s="129" t="str">
        <x:v>Sedan</x:v>
      </x:c>
      <x:c r="K159" s="129" t="str">
        <x:v>AWD</x:v>
      </x:c>
      <x:c r="L159" s="129" t="str">
        <x:v>2.0L Turbo I4</x:v>
      </x:c>
      <x:c r="M159" s="129" t="str">
        <x:v>Gasoline</x:v>
      </x:c>
      <x:c r="N159" s="129" t="str">
        <x:v>8-speed Automatic</x:v>
      </x:c>
      <x:c r="O159" s="129" t="str">
        <x:v>Good Deal</x:v>
      </x:c>
      <x:c r="P159" s="129" t="str">
        <x:v>G20</x:v>
      </x:c>
      <x:c r="Q159" s="144" t="str"/>
    </x:row>
    <x:row r="160">
      <x:c r="A160" s="129" t="str">
        <x:v>BMW3_014</x:v>
      </x:c>
      <x:c r="B160" s="132" t="n">
        <x:v>46233</x:v>
      </x:c>
      <x:c r="C160" s="129" t="str">
        <x:v>Mississauga</x:v>
      </x:c>
      <x:c r="D160" s="129" t="str">
        <x:v>BMW</x:v>
      </x:c>
      <x:c r="E160" s="129" t="str">
        <x:v>3 Series</x:v>
      </x:c>
      <x:c r="F160" s="129" t="str">
        <x:v>330i xDrive</x:v>
      </x:c>
      <x:c r="G160" s="135" t="n">
        <x:v>2023</x:v>
      </x:c>
      <x:c r="H160" s="138" t="n">
        <x:v>39995</x:v>
      </x:c>
      <x:c r="I160" s="141" t="n">
        <x:v>51107</x:v>
      </x:c>
      <x:c r="J160" s="129" t="str">
        <x:v>Sedan</x:v>
      </x:c>
      <x:c r="K160" s="129" t="str">
        <x:v>AWD</x:v>
      </x:c>
      <x:c r="L160" s="129" t="str">
        <x:v>2.0L Turbo I4</x:v>
      </x:c>
      <x:c r="M160" s="129" t="str">
        <x:v>Gasoline</x:v>
      </x:c>
      <x:c r="N160" s="129" t="str">
        <x:v>8-speed Automatic</x:v>
      </x:c>
      <x:c r="O160" s="129" t="str">
        <x:v>Good Deal</x:v>
      </x:c>
      <x:c r="P160" s="129" t="str">
        <x:v>G20 LCI</x:v>
      </x:c>
      <x:c r="Q160" s="144" t="str"/>
    </x:row>
    <x:row r="161">
      <x:c r="A161" s="129" t="str">
        <x:v>BMW3_015</x:v>
      </x:c>
      <x:c r="B161" s="132" t="n">
        <x:v>46233</x:v>
      </x:c>
      <x:c r="C161" s="129" t="str">
        <x:v>Concord</x:v>
      </x:c>
      <x:c r="D161" s="129" t="str">
        <x:v>BMW</x:v>
      </x:c>
      <x:c r="E161" s="129" t="str">
        <x:v>3 Series</x:v>
      </x:c>
      <x:c r="F161" s="129" t="str">
        <x:v>330i xDrive</x:v>
      </x:c>
      <x:c r="G161" s="135" t="n">
        <x:v>2021</x:v>
      </x:c>
      <x:c r="H161" s="138" t="n">
        <x:v>24450</x:v>
      </x:c>
      <x:c r="I161" s="141" t="n">
        <x:v>112382</x:v>
      </x:c>
      <x:c r="J161" s="129" t="str">
        <x:v>Sedan</x:v>
      </x:c>
      <x:c r="K161" s="129" t="str">
        <x:v>AWD</x:v>
      </x:c>
      <x:c r="L161" s="129" t="str">
        <x:v>2.0L Turbo I4</x:v>
      </x:c>
      <x:c r="M161" s="129" t="str">
        <x:v>Gasoline</x:v>
      </x:c>
      <x:c r="N161" s="129" t="str">
        <x:v>8-speed Automatic</x:v>
      </x:c>
      <x:c r="O161" s="129" t="str">
        <x:v>Good Deal</x:v>
      </x:c>
      <x:c r="P161" s="129" t="str">
        <x:v>G20</x:v>
      </x:c>
      <x:c r="Q161" s="144" t="str"/>
    </x:row>
    <x:row r="162">
      <x:c r="A162" s="129" t="str">
        <x:v>BMW3_016</x:v>
      </x:c>
      <x:c r="B162" s="132" t="n">
        <x:v>46233</x:v>
      </x:c>
      <x:c r="C162" s="129" t="str">
        <x:v>Brampton</x:v>
      </x:c>
      <x:c r="D162" s="129" t="str">
        <x:v>BMW</x:v>
      </x:c>
      <x:c r="E162" s="129" t="str">
        <x:v>3 Series</x:v>
      </x:c>
      <x:c r="F162" s="129" t="str">
        <x:v>330i xDrive</x:v>
      </x:c>
      <x:c r="G162" s="135" t="n">
        <x:v>2023</x:v>
      </x:c>
      <x:c r="H162" s="138" t="n">
        <x:v>37900</x:v>
      </x:c>
      <x:c r="I162" s="141" t="n">
        <x:v>32586</x:v>
      </x:c>
      <x:c r="J162" s="129" t="str">
        <x:v>Sedan</x:v>
      </x:c>
      <x:c r="K162" s="129" t="str">
        <x:v>AWD</x:v>
      </x:c>
      <x:c r="L162" s="129" t="str">
        <x:v>2.0L Turbo I4</x:v>
      </x:c>
      <x:c r="M162" s="129" t="str">
        <x:v>Gasoline</x:v>
      </x:c>
      <x:c r="N162" s="129" t="str">
        <x:v>8-speed Automatic</x:v>
      </x:c>
      <x:c r="O162" s="129" t="str">
        <x:v>Good Deal</x:v>
      </x:c>
      <x:c r="P162" s="129" t="str">
        <x:v>G20 LCI</x:v>
      </x:c>
      <x:c r="Q162" s="144" t="str"/>
    </x:row>
    <x:row r="163">
      <x:c r="A163" s="129" t="str">
        <x:v>BMW3_017</x:v>
      </x:c>
      <x:c r="B163" s="132" t="n">
        <x:v>46233</x:v>
      </x:c>
      <x:c r="C163" s="129" t="str">
        <x:v>Toronto</x:v>
      </x:c>
      <x:c r="D163" s="129" t="str">
        <x:v>BMW</x:v>
      </x:c>
      <x:c r="E163" s="129" t="str">
        <x:v>3 Series</x:v>
      </x:c>
      <x:c r="F163" s="129" t="str">
        <x:v>330i xDrive</x:v>
      </x:c>
      <x:c r="G163" s="135" t="n">
        <x:v>2021</x:v>
      </x:c>
      <x:c r="H163" s="138" t="n">
        <x:v>27880</x:v>
      </x:c>
      <x:c r="I163" s="141" t="n">
        <x:v>73000</x:v>
      </x:c>
      <x:c r="J163" s="129" t="str">
        <x:v>Sedan</x:v>
      </x:c>
      <x:c r="K163" s="129" t="str">
        <x:v>AWD</x:v>
      </x:c>
      <x:c r="L163" s="129" t="str">
        <x:v>2.0L Turbo I4</x:v>
      </x:c>
      <x:c r="M163" s="129" t="str">
        <x:v>Gasoline</x:v>
      </x:c>
      <x:c r="N163" s="129" t="str">
        <x:v>8-speed Automatic</x:v>
      </x:c>
      <x:c r="O163" s="129" t="str">
        <x:v>Good Deal</x:v>
      </x:c>
      <x:c r="P163" s="129" t="str">
        <x:v>G20</x:v>
      </x:c>
      <x:c r="Q163" s="144" t="str"/>
    </x:row>
    <x:row r="164">
      <x:c r="A164" s="129" t="str">
        <x:v>BMW3_018</x:v>
      </x:c>
      <x:c r="B164" s="132" t="n">
        <x:v>46233</x:v>
      </x:c>
      <x:c r="C164" s="129" t="str">
        <x:v>Mississauga</x:v>
      </x:c>
      <x:c r="D164" s="129" t="str">
        <x:v>BMW</x:v>
      </x:c>
      <x:c r="E164" s="129" t="str">
        <x:v>3 Series</x:v>
      </x:c>
      <x:c r="F164" s="129" t="str">
        <x:v>330i xDrive</x:v>
      </x:c>
      <x:c r="G164" s="135" t="n">
        <x:v>2022</x:v>
      </x:c>
      <x:c r="H164" s="138" t="n">
        <x:v>28750</x:v>
      </x:c>
      <x:c r="I164" s="141" t="n">
        <x:v>103200</x:v>
      </x:c>
      <x:c r="J164" s="129" t="str">
        <x:v>Sedan</x:v>
      </x:c>
      <x:c r="K164" s="129" t="str">
        <x:v>AWD</x:v>
      </x:c>
      <x:c r="L164" s="129" t="str">
        <x:v>2.0L Turbo I4</x:v>
      </x:c>
      <x:c r="M164" s="129" t="str">
        <x:v>Gasoline</x:v>
      </x:c>
      <x:c r="N164" s="129" t="str">
        <x:v>8-speed Automatic</x:v>
      </x:c>
      <x:c r="O164" s="129" t="str">
        <x:v>Good Deal</x:v>
      </x:c>
      <x:c r="P164" s="129" t="str">
        <x:v>G20</x:v>
      </x:c>
      <x:c r="Q164" s="144" t="str"/>
    </x:row>
    <x:row r="165">
      <x:c r="A165" s="129" t="str">
        <x:v>BMW3_019</x:v>
      </x:c>
      <x:c r="B165" s="132" t="n">
        <x:v>46233</x:v>
      </x:c>
      <x:c r="C165" s="129" t="str">
        <x:v>Toronto</x:v>
      </x:c>
      <x:c r="D165" s="129" t="str">
        <x:v>BMW</x:v>
      </x:c>
      <x:c r="E165" s="129" t="str">
        <x:v>3 Series</x:v>
      </x:c>
      <x:c r="F165" s="129" t="str">
        <x:v>330i xDrive</x:v>
      </x:c>
      <x:c r="G165" s="135" t="n">
        <x:v>2021</x:v>
      </x:c>
      <x:c r="H165" s="138" t="n">
        <x:v>33980</x:v>
      </x:c>
      <x:c r="I165" s="141" t="n">
        <x:v>36781</x:v>
      </x:c>
      <x:c r="J165" s="129" t="str">
        <x:v>Sedan</x:v>
      </x:c>
      <x:c r="K165" s="129" t="str">
        <x:v>AWD</x:v>
      </x:c>
      <x:c r="L165" s="129" t="str">
        <x:v>2.0L Turbo I4</x:v>
      </x:c>
      <x:c r="M165" s="129" t="str">
        <x:v>Gasoline</x:v>
      </x:c>
      <x:c r="N165" s="129" t="str">
        <x:v>8-speed Automatic</x:v>
      </x:c>
      <x:c r="O165" s="129" t="str">
        <x:v>Good Deal</x:v>
      </x:c>
      <x:c r="P165" s="129" t="str">
        <x:v>G20</x:v>
      </x:c>
      <x:c r="Q165" s="144" t="str"/>
    </x:row>
    <x:row r="166">
      <x:c r="A166" s="129" t="str">
        <x:v>BMW3_020</x:v>
      </x:c>
      <x:c r="B166" s="132" t="n">
        <x:v>46233</x:v>
      </x:c>
      <x:c r="C166" s="129" t="str">
        <x:v>Scarborough</x:v>
      </x:c>
      <x:c r="D166" s="129" t="str">
        <x:v>BMW</x:v>
      </x:c>
      <x:c r="E166" s="129" t="str">
        <x:v>3 Series</x:v>
      </x:c>
      <x:c r="F166" s="129" t="str">
        <x:v>330i xDrive</x:v>
      </x:c>
      <x:c r="G166" s="135" t="n">
        <x:v>2020</x:v>
      </x:c>
      <x:c r="H166" s="138" t="n">
        <x:v>27777</x:v>
      </x:c>
      <x:c r="I166" s="141" t="n">
        <x:v>80000</x:v>
      </x:c>
      <x:c r="J166" s="129" t="str">
        <x:v>Sedan</x:v>
      </x:c>
      <x:c r="K166" s="129" t="str">
        <x:v>AWD</x:v>
      </x:c>
      <x:c r="L166" s="129" t="str">
        <x:v>2.0L Turbo I4</x:v>
      </x:c>
      <x:c r="M166" s="129" t="str">
        <x:v>Gasoline</x:v>
      </x:c>
      <x:c r="N166" s="129" t="str">
        <x:v>8-speed Automatic</x:v>
      </x:c>
      <x:c r="O166" s="129" t="str">
        <x:v>Good Deal</x:v>
      </x:c>
      <x:c r="P166" s="129" t="str">
        <x:v>G20</x:v>
      </x:c>
      <x:c r="Q166" s="144" t="str"/>
    </x:row>
    <x:row r="167">
      <x:c r="A167" s="129" t="str">
        <x:v>BMW3_021</x:v>
      </x:c>
      <x:c r="B167" s="132" t="n">
        <x:v>46233</x:v>
      </x:c>
      <x:c r="C167" s="129" t="str">
        <x:v>Mississauga</x:v>
      </x:c>
      <x:c r="D167" s="129" t="str">
        <x:v>BMW</x:v>
      </x:c>
      <x:c r="E167" s="129" t="str">
        <x:v>3 Series</x:v>
      </x:c>
      <x:c r="F167" s="129" t="str">
        <x:v>330i xDrive</x:v>
      </x:c>
      <x:c r="G167" s="135" t="n">
        <x:v>2025</x:v>
      </x:c>
      <x:c r="H167" s="138" t="n">
        <x:v>52999</x:v>
      </x:c>
      <x:c r="I167" s="141" t="n">
        <x:v>29646</x:v>
      </x:c>
      <x:c r="J167" s="129" t="str">
        <x:v>Sedan</x:v>
      </x:c>
      <x:c r="K167" s="129" t="str">
        <x:v>AWD</x:v>
      </x:c>
      <x:c r="L167" s="129" t="str">
        <x:v>2.0L Turbo I4</x:v>
      </x:c>
      <x:c r="M167" s="129" t="str">
        <x:v>Gasoline</x:v>
      </x:c>
      <x:c r="N167" s="129" t="str">
        <x:v>8-speed Automatic</x:v>
      </x:c>
      <x:c r="O167" s="129" t="str">
        <x:v>Good Deal</x:v>
      </x:c>
      <x:c r="P167" s="129" t="str">
        <x:v>G20 LCI</x:v>
      </x:c>
      <x:c r="Q167" s="144" t="str"/>
    </x:row>
    <x:row r="168">
      <x:c r="A168" s="129" t="str">
        <x:v>BMW3_022</x:v>
      </x:c>
      <x:c r="B168" s="132" t="n">
        <x:v>46233</x:v>
      </x:c>
      <x:c r="C168" s="129" t="str">
        <x:v>Brampton</x:v>
      </x:c>
      <x:c r="D168" s="129" t="str">
        <x:v>BMW</x:v>
      </x:c>
      <x:c r="E168" s="129" t="str">
        <x:v>3 Series</x:v>
      </x:c>
      <x:c r="F168" s="129" t="str">
        <x:v>330i xDrive</x:v>
      </x:c>
      <x:c r="G168" s="135" t="n">
        <x:v>2023</x:v>
      </x:c>
      <x:c r="H168" s="138" t="n">
        <x:v>38990</x:v>
      </x:c>
      <x:c r="I168" s="141" t="n">
        <x:v>38039</x:v>
      </x:c>
      <x:c r="J168" s="129" t="str">
        <x:v>Sedan</x:v>
      </x:c>
      <x:c r="K168" s="129" t="str">
        <x:v>AWD</x:v>
      </x:c>
      <x:c r="L168" s="129" t="str">
        <x:v>2.0L Turbo I4</x:v>
      </x:c>
      <x:c r="M168" s="129" t="str">
        <x:v>Gasoline</x:v>
      </x:c>
      <x:c r="N168" s="129" t="str">
        <x:v>8-speed Automatic</x:v>
      </x:c>
      <x:c r="O168" s="129" t="str">
        <x:v>Good Deal</x:v>
      </x:c>
      <x:c r="P168" s="129" t="str">
        <x:v>G20 LCI</x:v>
      </x:c>
      <x:c r="Q168" s="144" t="str"/>
    </x:row>
    <x:row r="169">
      <x:c r="A169" s="129" t="str">
        <x:v>G70_001</x:v>
      </x:c>
      <x:c r="B169" s="132" t="n">
        <x:v>46233</x:v>
      </x:c>
      <x:c r="C169" s="129" t="str">
        <x:v>Not recorded</x:v>
      </x:c>
      <x:c r="D169" s="129" t="str">
        <x:v>Genesis</x:v>
      </x:c>
      <x:c r="E169" s="129" t="str">
        <x:v>G70</x:v>
      </x:c>
      <x:c r="F169" s="129" t="str">
        <x:v>2.0T Advanced</x:v>
      </x:c>
      <x:c r="G169" s="135" t="n">
        <x:v>2023</x:v>
      </x:c>
      <x:c r="H169" s="138" t="n">
        <x:v>30490</x:v>
      </x:c>
      <x:c r="I169" s="141" t="n">
        <x:v>51000</x:v>
      </x:c>
      <x:c r="J169" s="129" t="str">
        <x:v>Sedan</x:v>
      </x:c>
      <x:c r="K169" s="129" t="str">
        <x:v>AWD</x:v>
      </x:c>
      <x:c r="L169" s="129" t="str">
        <x:v>2.0L Turbo I4</x:v>
      </x:c>
      <x:c r="M169" s="129" t="str">
        <x:v>Gasoline</x:v>
      </x:c>
      <x:c r="N169" s="129" t="str">
        <x:v>8-speed Automatic</x:v>
      </x:c>
      <x:c r="O169" s="129" t="str">
        <x:v>Fair Deal</x:v>
      </x:c>
      <x:c r="P169" s="129" t="str">
        <x:v>1st Gen Facelift</x:v>
      </x:c>
      <x:c r="Q169" s="144" t="str">
        <x:v>duplicate listing removed</x:v>
      </x:c>
    </x:row>
    <x:row r="170">
      <x:c r="A170" s="129" t="str">
        <x:v>G70_002</x:v>
      </x:c>
      <x:c r="B170" s="132" t="n">
        <x:v>46233</x:v>
      </x:c>
      <x:c r="C170" s="129" t="str">
        <x:v>Not recorded</x:v>
      </x:c>
      <x:c r="D170" s="129" t="str">
        <x:v>Genesis</x:v>
      </x:c>
      <x:c r="E170" s="129" t="str">
        <x:v>G70</x:v>
      </x:c>
      <x:c r="F170" s="129" t="str">
        <x:v>3.3T Sport</x:v>
      </x:c>
      <x:c r="G170" s="135" t="n">
        <x:v>2023</x:v>
      </x:c>
      <x:c r="H170" s="138" t="n">
        <x:v>37090</x:v>
      </x:c>
      <x:c r="I170" s="141" t="n">
        <x:v>60000</x:v>
      </x:c>
      <x:c r="J170" s="129" t="str">
        <x:v>Sedan</x:v>
      </x:c>
      <x:c r="K170" s="129" t="str">
        <x:v>AWD</x:v>
      </x:c>
      <x:c r="L170" s="129" t="str">
        <x:v>3.3L Twin-Turbo V6</x:v>
      </x:c>
      <x:c r="M170" s="129" t="str">
        <x:v>Gasoline</x:v>
      </x:c>
      <x:c r="N170" s="129" t="str">
        <x:v>8-speed Automatic</x:v>
      </x:c>
      <x:c r="O170" s="129" t="str">
        <x:v>Fair Deal</x:v>
      </x:c>
      <x:c r="P170" s="129" t="str">
        <x:v>1st Gen Facelift</x:v>
      </x:c>
      <x:c r="Q170" s="144" t="str">
        <x:v>duplicate listing removed</x:v>
      </x:c>
    </x:row>
    <x:row r="171">
      <x:c r="A171" s="129" t="str">
        <x:v>G70_003</x:v>
      </x:c>
      <x:c r="B171" s="132" t="n">
        <x:v>46233</x:v>
      </x:c>
      <x:c r="C171" s="129" t="str">
        <x:v>Thornhill</x:v>
      </x:c>
      <x:c r="D171" s="129" t="str">
        <x:v>Genesis</x:v>
      </x:c>
      <x:c r="E171" s="129" t="str">
        <x:v>G70</x:v>
      </x:c>
      <x:c r="F171" s="129" t="str">
        <x:v>3.3T Sport Advanced</x:v>
      </x:c>
      <x:c r="G171" s="135" t="n">
        <x:v>2024</x:v>
      </x:c>
      <x:c r="H171" s="138" t="n">
        <x:v>47848</x:v>
      </x:c>
      <x:c r="I171" s="141" t="n">
        <x:v>28169</x:v>
      </x:c>
      <x:c r="J171" s="129" t="str">
        <x:v>Sedan</x:v>
      </x:c>
      <x:c r="K171" s="129" t="str">
        <x:v>AWD</x:v>
      </x:c>
      <x:c r="L171" s="129" t="str">
        <x:v>3.3L Twin-Turbo V6</x:v>
      </x:c>
      <x:c r="M171" s="129" t="str">
        <x:v>Gasoline</x:v>
      </x:c>
      <x:c r="N171" s="129" t="str">
        <x:v>8-speed Automatic</x:v>
      </x:c>
      <x:c r="O171" s="129" t="str">
        <x:v>Fair Deal</x:v>
      </x:c>
      <x:c r="P171" s="129" t="str">
        <x:v>1st Gen Facelift</x:v>
      </x:c>
      <x:c r="Q171" s="144" t="str">
        <x:v>duplicate listing removed</x:v>
      </x:c>
    </x:row>
    <x:row r="172">
      <x:c r="A172" s="129" t="str">
        <x:v>G70_004</x:v>
      </x:c>
      <x:c r="B172" s="132" t="n">
        <x:v>46233</x:v>
      </x:c>
      <x:c r="C172" s="129" t="str">
        <x:v>Etobicoke</x:v>
      </x:c>
      <x:c r="D172" s="129" t="str">
        <x:v>Genesis</x:v>
      </x:c>
      <x:c r="E172" s="129" t="str">
        <x:v>G70</x:v>
      </x:c>
      <x:c r="F172" s="129" t="str">
        <x:v>2.5T Standard</x:v>
      </x:c>
      <x:c r="G172" s="135" t="n">
        <x:v>2024</x:v>
      </x:c>
      <x:c r="H172" s="138" t="n">
        <x:v>41500</x:v>
      </x:c>
      <x:c r="I172" s="141" t="n">
        <x:v>25906</x:v>
      </x:c>
      <x:c r="J172" s="129" t="str">
        <x:v>Sedan</x:v>
      </x:c>
      <x:c r="K172" s="129" t="str">
        <x:v>RWD</x:v>
      </x:c>
      <x:c r="L172" s="129" t="str">
        <x:v>2.5L Turbo I4</x:v>
      </x:c>
      <x:c r="M172" s="129" t="str">
        <x:v>Gasoline</x:v>
      </x:c>
      <x:c r="N172" s="129" t="str">
        <x:v>8-speed Automatic</x:v>
      </x:c>
      <x:c r="O172" s="129" t="str">
        <x:v>Fair Deal</x:v>
      </x:c>
      <x:c r="P172" s="129" t="str">
        <x:v>1st Gen Facelift</x:v>
      </x:c>
      <x:c r="Q172" s="144" t="str"/>
    </x:row>
    <x:row r="173">
      <x:c r="A173" s="129" t="str">
        <x:v>G70_005</x:v>
      </x:c>
      <x:c r="B173" s="132" t="n">
        <x:v>46233</x:v>
      </x:c>
      <x:c r="C173" s="129" t="str">
        <x:v>Burlington</x:v>
      </x:c>
      <x:c r="D173" s="129" t="str">
        <x:v>Genesis</x:v>
      </x:c>
      <x:c r="E173" s="129" t="str">
        <x:v>G70</x:v>
      </x:c>
      <x:c r="F173" s="129" t="str">
        <x:v>3.3T Sport</x:v>
      </x:c>
      <x:c r="G173" s="135" t="n">
        <x:v>2023</x:v>
      </x:c>
      <x:c r="H173" s="138" t="n">
        <x:v>37980</x:v>
      </x:c>
      <x:c r="I173" s="141" t="n">
        <x:v>61326</x:v>
      </x:c>
      <x:c r="J173" s="129" t="str">
        <x:v>Sedan</x:v>
      </x:c>
      <x:c r="K173" s="129" t="str">
        <x:v>AWD</x:v>
      </x:c>
      <x:c r="L173" s="129" t="str">
        <x:v>3.3L Twin-Turbo V6</x:v>
      </x:c>
      <x:c r="M173" s="129" t="str">
        <x:v>Gasoline</x:v>
      </x:c>
      <x:c r="N173" s="129" t="str">
        <x:v>8-speed Automatic</x:v>
      </x:c>
      <x:c r="O173" s="129" t="str">
        <x:v>Fair Deal</x:v>
      </x:c>
      <x:c r="P173" s="129" t="str">
        <x:v>1st Gen Facelift</x:v>
      </x:c>
      <x:c r="Q173" s="144" t="str"/>
    </x:row>
    <x:row r="174">
      <x:c r="A174" s="129" t="str">
        <x:v>G70_006</x:v>
      </x:c>
      <x:c r="B174" s="132" t="n">
        <x:v>46233</x:v>
      </x:c>
      <x:c r="C174" s="129" t="str">
        <x:v>Not recorded</x:v>
      </x:c>
      <x:c r="D174" s="129" t="str">
        <x:v>Genesis</x:v>
      </x:c>
      <x:c r="E174" s="129" t="str">
        <x:v>G70</x:v>
      </x:c>
      <x:c r="F174" s="129" t="str">
        <x:v>3.3T Sport</x:v>
      </x:c>
      <x:c r="G174" s="135" t="n">
        <x:v>2022</x:v>
      </x:c>
      <x:c r="H174" s="138" t="n">
        <x:v>34790</x:v>
      </x:c>
      <x:c r="I174" s="141" t="n">
        <x:v>59800</x:v>
      </x:c>
      <x:c r="J174" s="129" t="str">
        <x:v>Sedan</x:v>
      </x:c>
      <x:c r="K174" s="129" t="str">
        <x:v>AWD</x:v>
      </x:c>
      <x:c r="L174" s="129" t="str">
        <x:v>3.3L Twin-Turbo V6</x:v>
      </x:c>
      <x:c r="M174" s="129" t="str">
        <x:v>Gasoline</x:v>
      </x:c>
      <x:c r="N174" s="129" t="str">
        <x:v>8-speed Automatic</x:v>
      </x:c>
      <x:c r="O174" s="129" t="str">
        <x:v>Fair Deal</x:v>
      </x:c>
      <x:c r="P174" s="129" t="str">
        <x:v>1st Gen Facelift</x:v>
      </x:c>
      <x:c r="Q174" s="144" t="str"/>
    </x:row>
    <x:row r="175">
      <x:c r="A175" s="129" t="str">
        <x:v>G70_007</x:v>
      </x:c>
      <x:c r="B175" s="132" t="n">
        <x:v>46233</x:v>
      </x:c>
      <x:c r="C175" s="129" t="str">
        <x:v>Toronto</x:v>
      </x:c>
      <x:c r="D175" s="129" t="str">
        <x:v>Genesis</x:v>
      </x:c>
      <x:c r="E175" s="129" t="str">
        <x:v>G70</x:v>
      </x:c>
      <x:c r="F175" s="129" t="str">
        <x:v>2.0T Advanced</x:v>
      </x:c>
      <x:c r="G175" s="135" t="n">
        <x:v>2023</x:v>
      </x:c>
      <x:c r="H175" s="138" t="n">
        <x:v>33988</x:v>
      </x:c>
      <x:c r="I175" s="141" t="n">
        <x:v>16444</x:v>
      </x:c>
      <x:c r="J175" s="129" t="str">
        <x:v>Sedan</x:v>
      </x:c>
      <x:c r="K175" s="129" t="str">
        <x:v>AWD</x:v>
      </x:c>
      <x:c r="L175" s="129" t="str">
        <x:v>2.0L Turbo I4</x:v>
      </x:c>
      <x:c r="M175" s="129" t="str">
        <x:v>Gasoline</x:v>
      </x:c>
      <x:c r="N175" s="129" t="str">
        <x:v>8-speed Automatic</x:v>
      </x:c>
      <x:c r="O175" s="129" t="str">
        <x:v>Fair Deal</x:v>
      </x:c>
      <x:c r="P175" s="129" t="str">
        <x:v>1st Gen Facelift</x:v>
      </x:c>
      <x:c r="Q175" s="144" t="str">
        <x:v>low mileage</x:v>
      </x:c>
    </x:row>
    <x:row r="176">
      <x:c r="A176" s="129" t="str">
        <x:v>G70_008</x:v>
      </x:c>
      <x:c r="B176" s="132" t="n">
        <x:v>46233</x:v>
      </x:c>
      <x:c r="C176" s="129" t="str">
        <x:v>Saint-Jerome</x:v>
      </x:c>
      <x:c r="D176" s="129" t="str">
        <x:v>Genesis</x:v>
      </x:c>
      <x:c r="E176" s="129" t="str">
        <x:v>G70</x:v>
      </x:c>
      <x:c r="F176" s="129" t="str">
        <x:v>3.3T Sport</x:v>
      </x:c>
      <x:c r="G176" s="135" t="n">
        <x:v>2022</x:v>
      </x:c>
      <x:c r="H176" s="138" t="n">
        <x:v>32681</x:v>
      </x:c>
      <x:c r="I176" s="141" t="n">
        <x:v>94082</x:v>
      </x:c>
      <x:c r="J176" s="129" t="str">
        <x:v>Sedan</x:v>
      </x:c>
      <x:c r="K176" s="129" t="str">
        <x:v>AWD</x:v>
      </x:c>
      <x:c r="L176" s="129" t="str">
        <x:v>3.3L Twin-Turbo V6</x:v>
      </x:c>
      <x:c r="M176" s="129" t="str">
        <x:v>Gasoline</x:v>
      </x:c>
      <x:c r="N176" s="129" t="str">
        <x:v>8-speed Automatic</x:v>
      </x:c>
      <x:c r="O176" s="129" t="str">
        <x:v>Fair Deal</x:v>
      </x:c>
      <x:c r="P176" s="129" t="str">
        <x:v>1st Gen Facelift</x:v>
      </x:c>
      <x:c r="Q176" s="144" t="str">
        <x:v>price includes $1,031 shipping</x:v>
      </x:c>
    </x:row>
    <x:row r="177">
      <x:c r="A177" s="129" t="str">
        <x:v>G70_009</x:v>
      </x:c>
      <x:c r="B177" s="132" t="n">
        <x:v>46233</x:v>
      </x:c>
      <x:c r="C177" s="129" t="str">
        <x:v>Brampton</x:v>
      </x:c>
      <x:c r="D177" s="129" t="str">
        <x:v>Genesis</x:v>
      </x:c>
      <x:c r="E177" s="129" t="str">
        <x:v>G70</x:v>
      </x:c>
      <x:c r="F177" s="129" t="str">
        <x:v>3.3T Sport</x:v>
      </x:c>
      <x:c r="G177" s="135" t="n">
        <x:v>2024</x:v>
      </x:c>
      <x:c r="H177" s="138" t="n">
        <x:v>40999</x:v>
      </x:c>
      <x:c r="I177" s="141" t="n">
        <x:v>60259</x:v>
      </x:c>
      <x:c r="J177" s="129" t="str">
        <x:v>Sedan</x:v>
      </x:c>
      <x:c r="K177" s="129" t="str">
        <x:v>AWD</x:v>
      </x:c>
      <x:c r="L177" s="129" t="str">
        <x:v>3.3L Twin-Turbo V6</x:v>
      </x:c>
      <x:c r="M177" s="129" t="str">
        <x:v>Gasoline</x:v>
      </x:c>
      <x:c r="N177" s="129" t="str">
        <x:v>8-speed Automatic</x:v>
      </x:c>
      <x:c r="O177" s="129" t="str">
        <x:v>Fair Deal</x:v>
      </x:c>
      <x:c r="P177" s="129" t="str">
        <x:v>1st Gen Facelift</x:v>
      </x:c>
      <x:c r="Q177" s="144" t="str"/>
    </x:row>
    <x:row r="178">
      <x:c r="A178" s="129" t="str">
        <x:v>G70_010</x:v>
      </x:c>
      <x:c r="B178" s="132" t="n">
        <x:v>46233</x:v>
      </x:c>
      <x:c r="C178" s="129" t="str">
        <x:v>Burlington</x:v>
      </x:c>
      <x:c r="D178" s="129" t="str">
        <x:v>Genesis</x:v>
      </x:c>
      <x:c r="E178" s="129" t="str">
        <x:v>G70</x:v>
      </x:c>
      <x:c r="F178" s="129" t="str">
        <x:v>3.3T Sport</x:v>
      </x:c>
      <x:c r="G178" s="135" t="n">
        <x:v>2024</x:v>
      </x:c>
      <x:c r="H178" s="138" t="n">
        <x:v>46998</x:v>
      </x:c>
      <x:c r="I178" s="141" t="n">
        <x:v>33561</x:v>
      </x:c>
      <x:c r="J178" s="129" t="str">
        <x:v>Sedan</x:v>
      </x:c>
      <x:c r="K178" s="129" t="str">
        <x:v>AWD</x:v>
      </x:c>
      <x:c r="L178" s="129" t="str">
        <x:v>3.3L Twin-Turbo V6</x:v>
      </x:c>
      <x:c r="M178" s="129" t="str">
        <x:v>Gasoline</x:v>
      </x:c>
      <x:c r="N178" s="129" t="str">
        <x:v>8-speed Automatic</x:v>
      </x:c>
      <x:c r="O178" s="129" t="str">
        <x:v>Fair Deal</x:v>
      </x:c>
      <x:c r="P178" s="129" t="str">
        <x:v>1st Gen Facelift</x:v>
      </x:c>
      <x:c r="Q178" s="144" t="str"/>
    </x:row>
    <x:row r="179">
      <x:c r="A179" s="129" t="str">
        <x:v>G70_011</x:v>
      </x:c>
      <x:c r="B179" s="132" t="n">
        <x:v>46233</x:v>
      </x:c>
      <x:c r="C179" s="129" t="str">
        <x:v>Laval</x:v>
      </x:c>
      <x:c r="D179" s="129" t="str">
        <x:v>Genesis</x:v>
      </x:c>
      <x:c r="E179" s="129" t="str">
        <x:v>G70</x:v>
      </x:c>
      <x:c r="F179" s="129" t="str">
        <x:v>3.3T Sport</x:v>
      </x:c>
      <x:c r="G179" s="135" t="n">
        <x:v>2023</x:v>
      </x:c>
      <x:c r="H179" s="138" t="n">
        <x:v>43968</x:v>
      </x:c>
      <x:c r="I179" s="141" t="n">
        <x:v>24691</x:v>
      </x:c>
      <x:c r="J179" s="129" t="str">
        <x:v>Sedan</x:v>
      </x:c>
      <x:c r="K179" s="129" t="str">
        <x:v>AWD</x:v>
      </x:c>
      <x:c r="L179" s="129" t="str">
        <x:v>3.3L Twin-Turbo V6</x:v>
      </x:c>
      <x:c r="M179" s="129" t="str">
        <x:v>Gasoline</x:v>
      </x:c>
      <x:c r="N179" s="129" t="str">
        <x:v>8-speed Automatic</x:v>
      </x:c>
      <x:c r="O179" s="129" t="str">
        <x:v>Fair Deal</x:v>
      </x:c>
      <x:c r="P179" s="129" t="str">
        <x:v>1st Gen Facelift</x:v>
      </x:c>
      <x:c r="Q179" s="144" t="str">
        <x:v>price includes $520 shipping</x:v>
      </x:c>
    </x:row>
    <x:row r="180">
      <x:c r="A180" s="129" t="str">
        <x:v>G70_012</x:v>
      </x:c>
      <x:c r="B180" s="132" t="n">
        <x:v>46233</x:v>
      </x:c>
      <x:c r="C180" s="129" t="str">
        <x:v>Markham</x:v>
      </x:c>
      <x:c r="D180" s="129" t="str">
        <x:v>Genesis</x:v>
      </x:c>
      <x:c r="E180" s="129" t="str">
        <x:v>G70</x:v>
      </x:c>
      <x:c r="F180" s="129" t="str">
        <x:v>3.3T Sport</x:v>
      </x:c>
      <x:c r="G180" s="135" t="n">
        <x:v>2025</x:v>
      </x:c>
      <x:c r="H180" s="138" t="n">
        <x:v>46021</x:v>
      </x:c>
      <x:c r="I180" s="141" t="n">
        <x:v>36685</x:v>
      </x:c>
      <x:c r="J180" s="129" t="str">
        <x:v>Sedan</x:v>
      </x:c>
      <x:c r="K180" s="129" t="str">
        <x:v>AWD</x:v>
      </x:c>
      <x:c r="L180" s="129" t="str">
        <x:v>3.3L Twin-Turbo V6</x:v>
      </x:c>
      <x:c r="M180" s="129" t="str">
        <x:v>Gasoline</x:v>
      </x:c>
      <x:c r="N180" s="129" t="str">
        <x:v>8-speed Automatic</x:v>
      </x:c>
      <x:c r="O180" s="129" t="str">
        <x:v>Fair Deal</x:v>
      </x:c>
      <x:c r="P180" s="129" t="str">
        <x:v>1st Gen Facelift</x:v>
      </x:c>
      <x:c r="Q180" s="144" t="str"/>
    </x:row>
    <x:row r="181">
      <x:c r="A181" s="129" t="str">
        <x:v>G70_013</x:v>
      </x:c>
      <x:c r="B181" s="132" t="n">
        <x:v>46233</x:v>
      </x:c>
      <x:c r="C181" s="129" t="str">
        <x:v>Not recorded</x:v>
      </x:c>
      <x:c r="D181" s="129" t="str">
        <x:v>Genesis</x:v>
      </x:c>
      <x:c r="E181" s="129" t="str">
        <x:v>G70</x:v>
      </x:c>
      <x:c r="F181" s="129" t="str">
        <x:v>3.3T Sport</x:v>
      </x:c>
      <x:c r="G181" s="135" t="n">
        <x:v>2023</x:v>
      </x:c>
      <x:c r="H181" s="138" t="n">
        <x:v>43190</x:v>
      </x:c>
      <x:c r="I181" s="141" t="n">
        <x:v>13310</x:v>
      </x:c>
      <x:c r="J181" s="129" t="str">
        <x:v>Sedan</x:v>
      </x:c>
      <x:c r="K181" s="129" t="str">
        <x:v>AWD</x:v>
      </x:c>
      <x:c r="L181" s="129" t="str">
        <x:v>3.3L Twin-Turbo V6</x:v>
      </x:c>
      <x:c r="M181" s="129" t="str">
        <x:v>Gasoline</x:v>
      </x:c>
      <x:c r="N181" s="129" t="str">
        <x:v>8-speed Automatic</x:v>
      </x:c>
      <x:c r="O181" s="129" t="str">
        <x:v>Fair Deal</x:v>
      </x:c>
      <x:c r="P181" s="129" t="str">
        <x:v>1st Gen Facelift</x:v>
      </x:c>
      <x:c r="Q181" s="144" t="str">
        <x:v>low mileage</x:v>
      </x:c>
    </x:row>
    <x:row r="182">
      <x:c r="A182" s="129" t="str">
        <x:v>G70_014</x:v>
      </x:c>
      <x:c r="B182" s="132" t="n">
        <x:v>46233</x:v>
      </x:c>
      <x:c r="C182" s="129" t="str">
        <x:v>Toronto</x:v>
      </x:c>
      <x:c r="D182" s="129" t="str">
        <x:v>Genesis</x:v>
      </x:c>
      <x:c r="E182" s="129" t="str">
        <x:v>G70</x:v>
      </x:c>
      <x:c r="F182" s="129" t="str">
        <x:v>3.3T Advanced</x:v>
      </x:c>
      <x:c r="G182" s="135" t="n">
        <x:v>2022</x:v>
      </x:c>
      <x:c r="H182" s="138" t="n">
        <x:v>27998</x:v>
      </x:c>
      <x:c r="I182" s="141" t="n">
        <x:v>111157</x:v>
      </x:c>
      <x:c r="J182" s="129" t="str">
        <x:v>Sedan</x:v>
      </x:c>
      <x:c r="K182" s="129" t="str">
        <x:v>AWD</x:v>
      </x:c>
      <x:c r="L182" s="129" t="str">
        <x:v>3.3L Twin-Turbo V6</x:v>
      </x:c>
      <x:c r="M182" s="129" t="str">
        <x:v>Gasoline</x:v>
      </x:c>
      <x:c r="N182" s="129" t="str">
        <x:v>8-speed Automatic</x:v>
      </x:c>
      <x:c r="O182" s="129" t="str">
        <x:v>Fair Deal</x:v>
      </x:c>
      <x:c r="P182" s="129" t="str">
        <x:v>1st Gen Facelift</x:v>
      </x:c>
      <x:c r="Q182" s="144" t="str">
        <x:v>high mileage</x:v>
      </x:c>
    </x:row>
    <x:row r="183">
      <x:c r="A183" s="129" t="str">
        <x:v>G70_015</x:v>
      </x:c>
      <x:c r="B183" s="132" t="n">
        <x:v>46233</x:v>
      </x:c>
      <x:c r="C183" s="129" t="str">
        <x:v>Mississauga</x:v>
      </x:c>
      <x:c r="D183" s="129" t="str">
        <x:v>Genesis</x:v>
      </x:c>
      <x:c r="E183" s="129" t="str">
        <x:v>G70</x:v>
      </x:c>
      <x:c r="F183" s="129" t="str">
        <x:v>2.5T Standard</x:v>
      </x:c>
      <x:c r="G183" s="135" t="n">
        <x:v>2024</x:v>
      </x:c>
      <x:c r="H183" s="138" t="n">
        <x:v>36821</x:v>
      </x:c>
      <x:c r="I183" s="141" t="n">
        <x:v>41791</x:v>
      </x:c>
      <x:c r="J183" s="129" t="str">
        <x:v>Sedan</x:v>
      </x:c>
      <x:c r="K183" s="129" t="str">
        <x:v>RWD</x:v>
      </x:c>
      <x:c r="L183" s="129" t="str">
        <x:v>2.5L Turbo I4</x:v>
      </x:c>
      <x:c r="M183" s="129" t="str">
        <x:v>Gasoline</x:v>
      </x:c>
      <x:c r="N183" s="129" t="str">
        <x:v>8-speed Automatic</x:v>
      </x:c>
      <x:c r="O183" s="129" t="str">
        <x:v>Fair Deal</x:v>
      </x:c>
      <x:c r="P183" s="129" t="str">
        <x:v>1st Gen Facelift</x:v>
      </x:c>
      <x:c r="Q183" s="144" t="str"/>
    </x:row>
    <x:row r="184">
      <x:c r="A184" s="129" t="str">
        <x:v>G70_016</x:v>
      </x:c>
      <x:c r="B184" s="132" t="n">
        <x:v>46233</x:v>
      </x:c>
      <x:c r="C184" s="129" t="str">
        <x:v>Markham</x:v>
      </x:c>
      <x:c r="D184" s="129" t="str">
        <x:v>Genesis</x:v>
      </x:c>
      <x:c r="E184" s="129" t="str">
        <x:v>G70</x:v>
      </x:c>
      <x:c r="F184" s="129" t="str">
        <x:v>2.5T Prestige</x:v>
      </x:c>
      <x:c r="G184" s="135" t="n">
        <x:v>2026</x:v>
      </x:c>
      <x:c r="H184" s="138" t="n">
        <x:v>50021</x:v>
      </x:c>
      <x:c r="I184" s="141" t="n">
        <x:v>9945</x:v>
      </x:c>
      <x:c r="J184" s="129" t="str">
        <x:v>Sedan</x:v>
      </x:c>
      <x:c r="K184" s="129" t="str">
        <x:v>AWD</x:v>
      </x:c>
      <x:c r="L184" s="129" t="str">
        <x:v>2.5L Turbo I4</x:v>
      </x:c>
      <x:c r="M184" s="129" t="str">
        <x:v>Gasoline</x:v>
      </x:c>
      <x:c r="N184" s="129" t="str">
        <x:v>8-speed Automatic</x:v>
      </x:c>
      <x:c r="O184" s="129" t="str">
        <x:v>Fair Deal</x:v>
      </x:c>
      <x:c r="P184" s="129" t="str">
        <x:v>1st Gen Facelift</x:v>
      </x:c>
      <x:c r="Q184" s="144" t="str">
        <x:v>low mileage</x:v>
      </x:c>
    </x:row>
    <x:row r="185">
      <x:c r="A185" s="129" t="str">
        <x:v>G70_017</x:v>
      </x:c>
      <x:c r="B185" s="132" t="n">
        <x:v>46233</x:v>
      </x:c>
      <x:c r="C185" s="129" t="str">
        <x:v>Oakville</x:v>
      </x:c>
      <x:c r="D185" s="129" t="str">
        <x:v>Genesis</x:v>
      </x:c>
      <x:c r="E185" s="129" t="str">
        <x:v>G70</x:v>
      </x:c>
      <x:c r="F185" s="129" t="str">
        <x:v>3.3T Sport</x:v>
      </x:c>
      <x:c r="G185" s="135" t="n">
        <x:v>2023</x:v>
      </x:c>
      <x:c r="H185" s="138" t="n">
        <x:v>40999</x:v>
      </x:c>
      <x:c r="I185" s="141" t="n">
        <x:v>37075</x:v>
      </x:c>
      <x:c r="J185" s="129" t="str">
        <x:v>Sedan</x:v>
      </x:c>
      <x:c r="K185" s="129" t="str">
        <x:v>AWD</x:v>
      </x:c>
      <x:c r="L185" s="129" t="str">
        <x:v>3.3L Twin-Turbo V6</x:v>
      </x:c>
      <x:c r="M185" s="129" t="str">
        <x:v>Gasoline</x:v>
      </x:c>
      <x:c r="N185" s="129" t="str">
        <x:v>8-speed Automatic</x:v>
      </x:c>
      <x:c r="O185" s="129" t="str">
        <x:v>Fair Deal</x:v>
      </x:c>
      <x:c r="P185" s="129" t="str">
        <x:v>1st Gen Facelift</x:v>
      </x:c>
      <x:c r="Q185" s="144" t="str"/>
    </x:row>
    <x:row r="186">
      <x:c r="A186" s="129" t="str">
        <x:v>G70_018</x:v>
      </x:c>
      <x:c r="B186" s="132" t="n">
        <x:v>46233</x:v>
      </x:c>
      <x:c r="C186" s="129" t="str">
        <x:v>Not recorded</x:v>
      </x:c>
      <x:c r="D186" s="129" t="str">
        <x:v>Genesis</x:v>
      </x:c>
      <x:c r="E186" s="129" t="str">
        <x:v>G70</x:v>
      </x:c>
      <x:c r="F186" s="129" t="str">
        <x:v>3.3T Sport</x:v>
      </x:c>
      <x:c r="G186" s="135" t="n">
        <x:v>2022</x:v>
      </x:c>
      <x:c r="H186" s="138" t="n">
        <x:v>34790</x:v>
      </x:c>
      <x:c r="I186" s="141" t="n">
        <x:v>46219</x:v>
      </x:c>
      <x:c r="J186" s="129" t="str">
        <x:v>Sedan</x:v>
      </x:c>
      <x:c r="K186" s="129" t="str">
        <x:v>AWD</x:v>
      </x:c>
      <x:c r="L186" s="129" t="str">
        <x:v>3.3L Twin-Turbo V6</x:v>
      </x:c>
      <x:c r="M186" s="129" t="str">
        <x:v>Gasoline</x:v>
      </x:c>
      <x:c r="N186" s="129" t="str">
        <x:v>8-speed Automatic</x:v>
      </x:c>
      <x:c r="O186" s="129" t="str">
        <x:v>Fair Deal</x:v>
      </x:c>
      <x:c r="P186" s="129" t="str">
        <x:v>1st Gen Facelift</x:v>
      </x:c>
      <x:c r="Q186" s="144" t="str"/>
    </x:row>
    <x:row r="187">
      <x:c r="A187" s="129" t="str">
        <x:v>G70_019</x:v>
      </x:c>
      <x:c r="B187" s="132" t="n">
        <x:v>46233</x:v>
      </x:c>
      <x:c r="C187" s="129" t="str">
        <x:v>Not recorded</x:v>
      </x:c>
      <x:c r="D187" s="129" t="str">
        <x:v>Genesis</x:v>
      </x:c>
      <x:c r="E187" s="129" t="str">
        <x:v>G70</x:v>
      </x:c>
      <x:c r="F187" s="129" t="str">
        <x:v>2.0T Select</x:v>
      </x:c>
      <x:c r="G187" s="135" t="n">
        <x:v>2022</x:v>
      </x:c>
      <x:c r="H187" s="138" t="n">
        <x:v>29890</x:v>
      </x:c>
      <x:c r="I187" s="141" t="n">
        <x:v>60274</x:v>
      </x:c>
      <x:c r="J187" s="129" t="str">
        <x:v>Sedan</x:v>
      </x:c>
      <x:c r="K187" s="129" t="str">
        <x:v>AWD</x:v>
      </x:c>
      <x:c r="L187" s="129" t="str">
        <x:v>2.0L Turbo I4</x:v>
      </x:c>
      <x:c r="M187" s="129" t="str">
        <x:v>Gasoline</x:v>
      </x:c>
      <x:c r="N187" s="129" t="str">
        <x:v>8-speed Automatic</x:v>
      </x:c>
      <x:c r="O187" s="129" t="str">
        <x:v>No Rating</x:v>
      </x:c>
      <x:c r="P187" s="129" t="str">
        <x:v>1st Gen Facelift</x:v>
      </x:c>
      <x:c r="Q187" s="144" t="str"/>
    </x:row>
    <x:row r="188">
      <x:c r="A188" s="129" t="str">
        <x:v>G70_020</x:v>
      </x:c>
      <x:c r="B188" s="132" t="n">
        <x:v>46233</x:v>
      </x:c>
      <x:c r="C188" s="129" t="str">
        <x:v>Burlington</x:v>
      </x:c>
      <x:c r="D188" s="129" t="str">
        <x:v>Genesis</x:v>
      </x:c>
      <x:c r="E188" s="129" t="str">
        <x:v>G70</x:v>
      </x:c>
      <x:c r="F188" s="129" t="str">
        <x:v>3.3T Sport</x:v>
      </x:c>
      <x:c r="G188" s="135" t="n">
        <x:v>2023</x:v>
      </x:c>
      <x:c r="H188" s="138" t="n">
        <x:v>26995</x:v>
      </x:c>
      <x:c r="I188" s="141" t="n">
        <x:v>101230</x:v>
      </x:c>
      <x:c r="J188" s="129" t="str">
        <x:v>Sedan</x:v>
      </x:c>
      <x:c r="K188" s="129" t="str">
        <x:v>AWD</x:v>
      </x:c>
      <x:c r="L188" s="129" t="str">
        <x:v>3.3L Twin-Turbo V6</x:v>
      </x:c>
      <x:c r="M188" s="129" t="str">
        <x:v>Gasoline</x:v>
      </x:c>
      <x:c r="N188" s="129" t="str">
        <x:v>8-speed Automatic</x:v>
      </x:c>
      <x:c r="O188" s="129" t="str">
        <x:v>Uncertain</x:v>
      </x:c>
      <x:c r="P188" s="129" t="str">
        <x:v>1st Gen Facelift</x:v>
      </x:c>
      <x:c r="Q188" s="144" t="str">
        <x:v>high mileage</x:v>
      </x:c>
    </x:row>
    <x:row r="189">
      <x:c r="A189" s="129" t="str">
        <x:v>G70_021</x:v>
      </x:c>
      <x:c r="B189" s="132" t="n">
        <x:v>46233</x:v>
      </x:c>
      <x:c r="C189" s="129" t="str">
        <x:v>Winnipeg</x:v>
      </x:c>
      <x:c r="D189" s="129" t="str">
        <x:v>Genesis</x:v>
      </x:c>
      <x:c r="E189" s="129" t="str">
        <x:v>G70</x:v>
      </x:c>
      <x:c r="F189" s="129" t="str">
        <x:v>3.3T Sport</x:v>
      </x:c>
      <x:c r="G189" s="135" t="n">
        <x:v>2023</x:v>
      </x:c>
      <x:c r="H189" s="138" t="n">
        <x:v>43755</x:v>
      </x:c>
      <x:c r="I189" s="141" t="n">
        <x:v>64562</x:v>
      </x:c>
      <x:c r="J189" s="129" t="str">
        <x:v>Sedan</x:v>
      </x:c>
      <x:c r="K189" s="129" t="str">
        <x:v>AWD</x:v>
      </x:c>
      <x:c r="L189" s="129" t="str">
        <x:v>3.3L Twin-Turbo V6</x:v>
      </x:c>
      <x:c r="M189" s="129" t="str">
        <x:v>Gasoline</x:v>
      </x:c>
      <x:c r="N189" s="129" t="str">
        <x:v>8-speed Automatic</x:v>
      </x:c>
      <x:c r="O189" s="129" t="str">
        <x:v>Uncertain</x:v>
      </x:c>
      <x:c r="P189" s="129" t="str">
        <x:v>1st Gen Facelift</x:v>
      </x:c>
      <x:c r="Q189" s="144" t="str">
        <x:v>price includes $3,755 shipping</x:v>
      </x:c>
    </x:row>
    <x:row r="190">
      <x:c r="A190" s="129" t="str">
        <x:v>MBCC_001</x:v>
      </x:c>
      <x:c r="B190" s="132" t="n">
        <x:v>46233</x:v>
      </x:c>
      <x:c r="C190" s="129" t="str">
        <x:v>North York</x:v>
      </x:c>
      <x:c r="D190" s="129" t="str">
        <x:v>Mercedes-Benz</x:v>
      </x:c>
      <x:c r="E190" s="129" t="str">
        <x:v>C-Class</x:v>
      </x:c>
      <x:c r="F190" s="129" t="str">
        <x:v>C300 4MATIC</x:v>
      </x:c>
      <x:c r="G190" s="135" t="n">
        <x:v>2022</x:v>
      </x:c>
      <x:c r="H190" s="138" t="n">
        <x:v>37988</x:v>
      </x:c>
      <x:c r="I190" s="141" t="n">
        <x:v>84000</x:v>
      </x:c>
      <x:c r="J190" s="129" t="str">
        <x:v>Sedan</x:v>
      </x:c>
      <x:c r="K190" s="129" t="str">
        <x:v>AWD</x:v>
      </x:c>
      <x:c r="L190" s="129" t="str">
        <x:v>2.0L Turbo I4 Mild Hybrid</x:v>
      </x:c>
      <x:c r="M190" s="129" t="str">
        <x:v>Gasoline Mild Hybrid</x:v>
      </x:c>
      <x:c r="N190" s="129" t="str">
        <x:v>9-speed Automatic</x:v>
      </x:c>
      <x:c r="O190" s="129" t="str">
        <x:v>Fair Deal</x:v>
      </x:c>
      <x:c r="P190" s="129" t="str">
        <x:v>W206</x:v>
      </x:c>
      <x:c r="Q190" s="144" t="str"/>
    </x:row>
    <x:row r="191">
      <x:c r="A191" s="129" t="str">
        <x:v>MBCC_002</x:v>
      </x:c>
      <x:c r="B191" s="132" t="n">
        <x:v>46233</x:v>
      </x:c>
      <x:c r="C191" s="129" t="str">
        <x:v>Mississauga</x:v>
      </x:c>
      <x:c r="D191" s="129" t="str">
        <x:v>Mercedes-Benz</x:v>
      </x:c>
      <x:c r="E191" s="129" t="str">
        <x:v>C-Class</x:v>
      </x:c>
      <x:c r="F191" s="129" t="str">
        <x:v>C300 4MATIC</x:v>
      </x:c>
      <x:c r="G191" s="135" t="n">
        <x:v>2022</x:v>
      </x:c>
      <x:c r="H191" s="138" t="n">
        <x:v>37370</x:v>
      </x:c>
      <x:c r="I191" s="141" t="n">
        <x:v>76938</x:v>
      </x:c>
      <x:c r="J191" s="129" t="str">
        <x:v>Sedan</x:v>
      </x:c>
      <x:c r="K191" s="129" t="str">
        <x:v>AWD</x:v>
      </x:c>
      <x:c r="L191" s="129" t="str">
        <x:v>2.0L Turbo I4 Mild Hybrid</x:v>
      </x:c>
      <x:c r="M191" s="129" t="str">
        <x:v>Gasoline Mild Hybrid</x:v>
      </x:c>
      <x:c r="N191" s="129" t="str">
        <x:v>9-speed Automatic</x:v>
      </x:c>
      <x:c r="O191" s="129" t="str">
        <x:v>Fair Deal</x:v>
      </x:c>
      <x:c r="P191" s="129" t="str">
        <x:v>W206</x:v>
      </x:c>
      <x:c r="Q191" s="144" t="str">
        <x:v>$2,129 price reduction</x:v>
      </x:c>
    </x:row>
    <x:row r="192">
      <x:c r="A192" s="129" t="str">
        <x:v>MBCC_003</x:v>
      </x:c>
      <x:c r="B192" s="132" t="n">
        <x:v>46233</x:v>
      </x:c>
      <x:c r="C192" s="129" t="str">
        <x:v>Mississauga</x:v>
      </x:c>
      <x:c r="D192" s="129" t="str">
        <x:v>Mercedes-Benz</x:v>
      </x:c>
      <x:c r="E192" s="129" t="str">
        <x:v>C-Class</x:v>
      </x:c>
      <x:c r="F192" s="129" t="str">
        <x:v>C300 4MATIC</x:v>
      </x:c>
      <x:c r="G192" s="135" t="n">
        <x:v>2022</x:v>
      </x:c>
      <x:c r="H192" s="138" t="n">
        <x:v>39995</x:v>
      </x:c>
      <x:c r="I192" s="141" t="n">
        <x:v>27058</x:v>
      </x:c>
      <x:c r="J192" s="129" t="str">
        <x:v>Sedan</x:v>
      </x:c>
      <x:c r="K192" s="129" t="str">
        <x:v>AWD</x:v>
      </x:c>
      <x:c r="L192" s="129" t="str">
        <x:v>2.0L Turbo I4 Mild Hybrid</x:v>
      </x:c>
      <x:c r="M192" s="129" t="str">
        <x:v>Gasoline Mild Hybrid</x:v>
      </x:c>
      <x:c r="N192" s="129" t="str">
        <x:v>9-speed Automatic</x:v>
      </x:c>
      <x:c r="O192" s="129" t="str">
        <x:v>Great Deal</x:v>
      </x:c>
      <x:c r="P192" s="129" t="str">
        <x:v>W206</x:v>
      </x:c>
      <x:c r="Q192" s="144" t="str"/>
    </x:row>
    <x:row r="193">
      <x:c r="A193" s="129" t="str">
        <x:v>MBCC_004</x:v>
      </x:c>
      <x:c r="B193" s="132" t="n">
        <x:v>46233</x:v>
      </x:c>
      <x:c r="C193" s="129" t="str">
        <x:v>Kitchener</x:v>
      </x:c>
      <x:c r="D193" s="129" t="str">
        <x:v>Mercedes-Benz</x:v>
      </x:c>
      <x:c r="E193" s="129" t="str">
        <x:v>C-Class</x:v>
      </x:c>
      <x:c r="F193" s="129" t="str">
        <x:v>C300 4MATIC</x:v>
      </x:c>
      <x:c r="G193" s="135" t="n">
        <x:v>2024</x:v>
      </x:c>
      <x:c r="H193" s="138" t="n">
        <x:v>39995</x:v>
      </x:c>
      <x:c r="I193" s="141" t="n">
        <x:v>52356</x:v>
      </x:c>
      <x:c r="J193" s="129" t="str">
        <x:v>Sedan</x:v>
      </x:c>
      <x:c r="K193" s="129" t="str">
        <x:v>AWD</x:v>
      </x:c>
      <x:c r="L193" s="129" t="str">
        <x:v>2.0L Turbo I4 Mild Hybrid</x:v>
      </x:c>
      <x:c r="M193" s="129" t="str">
        <x:v>Gasoline Mild Hybrid</x:v>
      </x:c>
      <x:c r="N193" s="129" t="str">
        <x:v>9-speed Automatic</x:v>
      </x:c>
      <x:c r="O193" s="129" t="str">
        <x:v>Great Deal</x:v>
      </x:c>
      <x:c r="P193" s="129" t="str">
        <x:v>W206</x:v>
      </x:c>
      <x:c r="Q193" s="144" t="str"/>
    </x:row>
    <x:row r="194">
      <x:c r="A194" s="129" t="str">
        <x:v>MBCC_005</x:v>
      </x:c>
      <x:c r="B194" s="132" t="n">
        <x:v>46233</x:v>
      </x:c>
      <x:c r="C194" s="129" t="str">
        <x:v>Mississauga</x:v>
      </x:c>
      <x:c r="D194" s="129" t="str">
        <x:v>Mercedes-Benz</x:v>
      </x:c>
      <x:c r="E194" s="129" t="str">
        <x:v>C-Class</x:v>
      </x:c>
      <x:c r="F194" s="129" t="str">
        <x:v>C300 4MATIC</x:v>
      </x:c>
      <x:c r="G194" s="135" t="n">
        <x:v>2024</x:v>
      </x:c>
      <x:c r="H194" s="138" t="n">
        <x:v>40995</x:v>
      </x:c>
      <x:c r="I194" s="141" t="n">
        <x:v>44189</x:v>
      </x:c>
      <x:c r="J194" s="129" t="str">
        <x:v>Sedan</x:v>
      </x:c>
      <x:c r="K194" s="129" t="str">
        <x:v>AWD</x:v>
      </x:c>
      <x:c r="L194" s="129" t="str">
        <x:v>2.0L Turbo I4 Mild Hybrid</x:v>
      </x:c>
      <x:c r="M194" s="129" t="str">
        <x:v>Gasoline Mild Hybrid</x:v>
      </x:c>
      <x:c r="N194" s="129" t="str">
        <x:v>9-speed Automatic</x:v>
      </x:c>
      <x:c r="O194" s="129" t="str">
        <x:v>Great Deal</x:v>
      </x:c>
      <x:c r="P194" s="129" t="str">
        <x:v>W206</x:v>
      </x:c>
      <x:c r="Q194" s="144" t="str"/>
    </x:row>
    <x:row r="195">
      <x:c r="A195" s="129" t="str">
        <x:v>MBCC_006</x:v>
      </x:c>
      <x:c r="B195" s="132" t="n">
        <x:v>46233</x:v>
      </x:c>
      <x:c r="C195" s="129" t="str">
        <x:v>Toronto</x:v>
      </x:c>
      <x:c r="D195" s="129" t="str">
        <x:v>Mercedes-Benz</x:v>
      </x:c>
      <x:c r="E195" s="129" t="str">
        <x:v>C-Class</x:v>
      </x:c>
      <x:c r="F195" s="129" t="str">
        <x:v>C300 4MATIC</x:v>
      </x:c>
      <x:c r="G195" s="135" t="n">
        <x:v>2023</x:v>
      </x:c>
      <x:c r="H195" s="138" t="n">
        <x:v>38888</x:v>
      </x:c>
      <x:c r="I195" s="141" t="n">
        <x:v>48240</x:v>
      </x:c>
      <x:c r="J195" s="129" t="str">
        <x:v>Sedan</x:v>
      </x:c>
      <x:c r="K195" s="129" t="str">
        <x:v>AWD</x:v>
      </x:c>
      <x:c r="L195" s="129" t="str">
        <x:v>2.0L Turbo I4 Mild Hybrid</x:v>
      </x:c>
      <x:c r="M195" s="129" t="str">
        <x:v>Gasoline Mild Hybrid</x:v>
      </x:c>
      <x:c r="N195" s="129" t="str">
        <x:v>9-speed Automatic</x:v>
      </x:c>
      <x:c r="O195" s="129" t="str">
        <x:v>Great Deal</x:v>
      </x:c>
      <x:c r="P195" s="129" t="str">
        <x:v>W206</x:v>
      </x:c>
      <x:c r="Q195" s="144" t="str"/>
    </x:row>
    <x:row r="196">
      <x:c r="A196" s="129" t="str">
        <x:v>MBCC_007</x:v>
      </x:c>
      <x:c r="B196" s="132" t="n">
        <x:v>46233</x:v>
      </x:c>
      <x:c r="C196" s="129" t="str">
        <x:v>Scarborough</x:v>
      </x:c>
      <x:c r="D196" s="129" t="str">
        <x:v>Mercedes-Benz</x:v>
      </x:c>
      <x:c r="E196" s="129" t="str">
        <x:v>C-Class</x:v>
      </x:c>
      <x:c r="F196" s="129" t="str">
        <x:v>C300 4MATIC</x:v>
      </x:c>
      <x:c r="G196" s="135" t="n">
        <x:v>2022</x:v>
      </x:c>
      <x:c r="H196" s="138" t="n">
        <x:v>29888</x:v>
      </x:c>
      <x:c r="I196" s="141" t="n">
        <x:v>127233</x:v>
      </x:c>
      <x:c r="J196" s="129" t="str">
        <x:v>Sedan</x:v>
      </x:c>
      <x:c r="K196" s="129" t="str">
        <x:v>AWD</x:v>
      </x:c>
      <x:c r="L196" s="129" t="str">
        <x:v>2.0L Turbo I4 Mild Hybrid</x:v>
      </x:c>
      <x:c r="M196" s="129" t="str">
        <x:v>Gasoline Mild Hybrid</x:v>
      </x:c>
      <x:c r="N196" s="129" t="str">
        <x:v>9-speed Automatic</x:v>
      </x:c>
      <x:c r="O196" s="129" t="str">
        <x:v>Great Deal</x:v>
      </x:c>
      <x:c r="P196" s="129" t="str">
        <x:v>W206</x:v>
      </x:c>
      <x:c r="Q196" s="144" t="str">
        <x:v>high mileage</x:v>
      </x:c>
    </x:row>
    <x:row r="197">
      <x:c r="A197" s="129" t="str">
        <x:v>MBCC_008</x:v>
      </x:c>
      <x:c r="B197" s="132" t="n">
        <x:v>46233</x:v>
      </x:c>
      <x:c r="C197" s="129" t="str">
        <x:v>Toronto</x:v>
      </x:c>
      <x:c r="D197" s="129" t="str">
        <x:v>Mercedes-Benz</x:v>
      </x:c>
      <x:c r="E197" s="129" t="str">
        <x:v>C-Class</x:v>
      </x:c>
      <x:c r="F197" s="129" t="str">
        <x:v>C300 4MATIC</x:v>
      </x:c>
      <x:c r="G197" s="135" t="n">
        <x:v>2025</x:v>
      </x:c>
      <x:c r="H197" s="138" t="n">
        <x:v>55995</x:v>
      </x:c>
      <x:c r="I197" s="141" t="n">
        <x:v>9680</x:v>
      </x:c>
      <x:c r="J197" s="129" t="str">
        <x:v>Sedan</x:v>
      </x:c>
      <x:c r="K197" s="129" t="str">
        <x:v>AWD</x:v>
      </x:c>
      <x:c r="L197" s="129" t="str">
        <x:v>2.0L Turbo I4 Mild Hybrid</x:v>
      </x:c>
      <x:c r="M197" s="129" t="str">
        <x:v>Gasoline Mild Hybrid</x:v>
      </x:c>
      <x:c r="N197" s="129" t="str">
        <x:v>9-speed Automatic</x:v>
      </x:c>
      <x:c r="O197" s="129" t="str">
        <x:v>Great Deal</x:v>
      </x:c>
      <x:c r="P197" s="129" t="str">
        <x:v>W206</x:v>
      </x:c>
      <x:c r="Q197" s="144" t="str">
        <x:v>low mileage</x:v>
      </x:c>
    </x:row>
    <x:row r="198">
      <x:c r="A198" s="129" t="str">
        <x:v>MBCC_009</x:v>
      </x:c>
      <x:c r="B198" s="132" t="n">
        <x:v>46233</x:v>
      </x:c>
      <x:c r="C198" s="129" t="str">
        <x:v>Oakville</x:v>
      </x:c>
      <x:c r="D198" s="129" t="str">
        <x:v>Mercedes-Benz</x:v>
      </x:c>
      <x:c r="E198" s="129" t="str">
        <x:v>C-Class</x:v>
      </x:c>
      <x:c r="F198" s="129" t="str">
        <x:v>C300 4MATIC</x:v>
      </x:c>
      <x:c r="G198" s="135" t="n">
        <x:v>2022</x:v>
      </x:c>
      <x:c r="H198" s="138" t="n">
        <x:v>36950</x:v>
      </x:c>
      <x:c r="I198" s="141" t="n">
        <x:v>65822</x:v>
      </x:c>
      <x:c r="J198" s="129" t="str">
        <x:v>Sedan</x:v>
      </x:c>
      <x:c r="K198" s="129" t="str">
        <x:v>AWD</x:v>
      </x:c>
      <x:c r="L198" s="129" t="str">
        <x:v>2.0L Turbo I4 Mild Hybrid</x:v>
      </x:c>
      <x:c r="M198" s="129" t="str">
        <x:v>Gasoline Mild Hybrid</x:v>
      </x:c>
      <x:c r="N198" s="129" t="str">
        <x:v>9-speed Automatic</x:v>
      </x:c>
      <x:c r="O198" s="129" t="str">
        <x:v>Great Deal</x:v>
      </x:c>
      <x:c r="P198" s="129" t="str">
        <x:v>W206</x:v>
      </x:c>
      <x:c r="Q198" s="144" t="str"/>
    </x:row>
    <x:row r="199">
      <x:c r="A199" s="129" t="str">
        <x:v>MBCC_010</x:v>
      </x:c>
      <x:c r="B199" s="132" t="n">
        <x:v>46233</x:v>
      </x:c>
      <x:c r="C199" s="129" t="str">
        <x:v>Kitchener</x:v>
      </x:c>
      <x:c r="D199" s="129" t="str">
        <x:v>Mercedes-Benz</x:v>
      </x:c>
      <x:c r="E199" s="129" t="str">
        <x:v>C-Class</x:v>
      </x:c>
      <x:c r="F199" s="129" t="str">
        <x:v>C300 4MATIC</x:v>
      </x:c>
      <x:c r="G199" s="135" t="n">
        <x:v>2025</x:v>
      </x:c>
      <x:c r="H199" s="138" t="n">
        <x:v>57900</x:v>
      </x:c>
      <x:c r="I199" s="141" t="n">
        <x:v>5468</x:v>
      </x:c>
      <x:c r="J199" s="129" t="str">
        <x:v>Sedan</x:v>
      </x:c>
      <x:c r="K199" s="129" t="str">
        <x:v>AWD</x:v>
      </x:c>
      <x:c r="L199" s="129" t="str">
        <x:v>2.0L Turbo I4 Mild Hybrid</x:v>
      </x:c>
      <x:c r="M199" s="129" t="str">
        <x:v>Gasoline Mild Hybrid</x:v>
      </x:c>
      <x:c r="N199" s="129" t="str">
        <x:v>9-speed Automatic</x:v>
      </x:c>
      <x:c r="O199" s="129" t="str">
        <x:v>Great Deal</x:v>
      </x:c>
      <x:c r="P199" s="129" t="str">
        <x:v>W206</x:v>
      </x:c>
      <x:c r="Q199" s="144" t="str">
        <x:v>Certified Pre-Owned; very low mileage</x:v>
      </x:c>
    </x:row>
    <x:row r="200">
      <x:c r="A200" s="129" t="str">
        <x:v>MBCC_011</x:v>
      </x:c>
      <x:c r="B200" s="132" t="n">
        <x:v>46233</x:v>
      </x:c>
      <x:c r="C200" s="129" t="str">
        <x:v>Oakville</x:v>
      </x:c>
      <x:c r="D200" s="129" t="str">
        <x:v>Mercedes-Benz</x:v>
      </x:c>
      <x:c r="E200" s="129" t="str">
        <x:v>C-Class</x:v>
      </x:c>
      <x:c r="F200" s="129" t="str">
        <x:v>C300 4MATIC</x:v>
      </x:c>
      <x:c r="G200" s="135" t="n">
        <x:v>2023</x:v>
      </x:c>
      <x:c r="H200" s="138" t="n">
        <x:v>35990</x:v>
      </x:c>
      <x:c r="I200" s="141" t="n">
        <x:v>61422</x:v>
      </x:c>
      <x:c r="J200" s="129" t="str">
        <x:v>Sedan</x:v>
      </x:c>
      <x:c r="K200" s="129" t="str">
        <x:v>AWD</x:v>
      </x:c>
      <x:c r="L200" s="129" t="str">
        <x:v>2.0L Turbo I4 Mild Hybrid</x:v>
      </x:c>
      <x:c r="M200" s="129" t="str">
        <x:v>Gasoline Mild Hybrid</x:v>
      </x:c>
      <x:c r="N200" s="129" t="str">
        <x:v>9-speed Automatic</x:v>
      </x:c>
      <x:c r="O200" s="129" t="str">
        <x:v>Great Deal</x:v>
      </x:c>
      <x:c r="P200" s="129" t="str">
        <x:v>W206</x:v>
      </x:c>
      <x:c r="Q200" s="144" t="str"/>
    </x:row>
    <x:row r="201">
      <x:c r="A201" s="129" t="str">
        <x:v>MBCC_012</x:v>
      </x:c>
      <x:c r="B201" s="132" t="n">
        <x:v>46233</x:v>
      </x:c>
      <x:c r="C201" s="129" t="str">
        <x:v>Richmond Hill</x:v>
      </x:c>
      <x:c r="D201" s="129" t="str">
        <x:v>Mercedes-Benz</x:v>
      </x:c>
      <x:c r="E201" s="129" t="str">
        <x:v>C-Class</x:v>
      </x:c>
      <x:c r="F201" s="129" t="str">
        <x:v>C300 4MATIC</x:v>
      </x:c>
      <x:c r="G201" s="135" t="n">
        <x:v>2022</x:v>
      </x:c>
      <x:c r="H201" s="138" t="n">
        <x:v>36995</x:v>
      </x:c>
      <x:c r="I201" s="141" t="n">
        <x:v>49002</x:v>
      </x:c>
      <x:c r="J201" s="129" t="str">
        <x:v>Sedan</x:v>
      </x:c>
      <x:c r="K201" s="129" t="str">
        <x:v>AWD</x:v>
      </x:c>
      <x:c r="L201" s="129" t="str">
        <x:v>2.0L Turbo I4 Mild Hybrid</x:v>
      </x:c>
      <x:c r="M201" s="129" t="str">
        <x:v>Gasoline Mild Hybrid</x:v>
      </x:c>
      <x:c r="N201" s="129" t="str">
        <x:v>9-speed Automatic</x:v>
      </x:c>
      <x:c r="O201" s="129" t="str">
        <x:v>Great Deal</x:v>
      </x:c>
      <x:c r="P201" s="129" t="str">
        <x:v>W206</x:v>
      </x:c>
      <x:c r="Q201" s="144" t="str">
        <x:v>$1,004 price reduction</x:v>
      </x:c>
    </x:row>
    <x:row r="202">
      <x:c r="A202" s="129" t="str">
        <x:v>MBCC_013</x:v>
      </x:c>
      <x:c r="B202" s="132" t="n">
        <x:v>46233</x:v>
      </x:c>
      <x:c r="C202" s="129" t="str">
        <x:v>Mississauga</x:v>
      </x:c>
      <x:c r="D202" s="129" t="str">
        <x:v>Mercedes-Benz</x:v>
      </x:c>
      <x:c r="E202" s="129" t="str">
        <x:v>C-Class</x:v>
      </x:c>
      <x:c r="F202" s="129" t="str">
        <x:v>C300 4MATIC</x:v>
      </x:c>
      <x:c r="G202" s="135" t="n">
        <x:v>2022</x:v>
      </x:c>
      <x:c r="H202" s="138" t="n">
        <x:v>35995</x:v>
      </x:c>
      <x:c r="I202" s="141" t="n">
        <x:v>44328</x:v>
      </x:c>
      <x:c r="J202" s="129" t="str">
        <x:v>Sedan</x:v>
      </x:c>
      <x:c r="K202" s="129" t="str">
        <x:v>AWD</x:v>
      </x:c>
      <x:c r="L202" s="129" t="str">
        <x:v>2.0L Turbo I4 Mild Hybrid</x:v>
      </x:c>
      <x:c r="M202" s="129" t="str">
        <x:v>Gasoline Mild Hybrid</x:v>
      </x:c>
      <x:c r="N202" s="129" t="str">
        <x:v>9-speed Automatic</x:v>
      </x:c>
      <x:c r="O202" s="129" t="str">
        <x:v>Great Deal</x:v>
      </x:c>
      <x:c r="P202" s="129" t="str">
        <x:v>W206</x:v>
      </x:c>
      <x:c r="Q202" s="144" t="str"/>
    </x:row>
    <x:row r="203">
      <x:c r="A203" s="129" t="str">
        <x:v>MBCC_014</x:v>
      </x:c>
      <x:c r="B203" s="132" t="n">
        <x:v>46233</x:v>
      </x:c>
      <x:c r="C203" s="129" t="str">
        <x:v>Not recorded</x:v>
      </x:c>
      <x:c r="D203" s="129" t="str">
        <x:v>Mercedes-Benz</x:v>
      </x:c>
      <x:c r="E203" s="129" t="str">
        <x:v>C-Class</x:v>
      </x:c>
      <x:c r="F203" s="129" t="str">
        <x:v>C300 4MATIC</x:v>
      </x:c>
      <x:c r="G203" s="135" t="n">
        <x:v>2025</x:v>
      </x:c>
      <x:c r="H203" s="138" t="n">
        <x:v>48990</x:v>
      </x:c>
      <x:c r="I203" s="141" t="n">
        <x:v>11700</x:v>
      </x:c>
      <x:c r="J203" s="129" t="str">
        <x:v>Sedan</x:v>
      </x:c>
      <x:c r="K203" s="129" t="str">
        <x:v>AWD</x:v>
      </x:c>
      <x:c r="L203" s="129" t="str">
        <x:v>2.0L Turbo I4 Mild Hybrid</x:v>
      </x:c>
      <x:c r="M203" s="129" t="str">
        <x:v>Gasoline Mild Hybrid</x:v>
      </x:c>
      <x:c r="N203" s="129" t="str">
        <x:v>9-speed Automatic</x:v>
      </x:c>
      <x:c r="O203" s="129" t="str">
        <x:v>Great Deal</x:v>
      </x:c>
      <x:c r="P203" s="129" t="str">
        <x:v>W206</x:v>
      </x:c>
      <x:c r="Q203" s="144" t="str">
        <x:v>low mileage</x:v>
      </x:c>
    </x:row>
    <x:row r="204">
      <x:c r="A204" s="130" t="str">
        <x:v>MBCC_015</x:v>
      </x:c>
      <x:c r="B204" s="133" t="n">
        <x:v>46233</x:v>
      </x:c>
      <x:c r="C204" s="130" t="str">
        <x:v>Burlington</x:v>
      </x:c>
      <x:c r="D204" s="130" t="str">
        <x:v>Mercedes-Benz</x:v>
      </x:c>
      <x:c r="E204" s="130" t="str">
        <x:v>C-Class</x:v>
      </x:c>
      <x:c r="F204" s="130" t="str">
        <x:v>AMG C43 4MATIC</x:v>
      </x:c>
      <x:c r="G204" s="136" t="n">
        <x:v>2023</x:v>
      </x:c>
      <x:c r="H204" s="139" t="n">
        <x:v>58000</x:v>
      </x:c>
      <x:c r="I204" s="142" t="n">
        <x:v>5601</x:v>
      </x:c>
      <x:c r="J204" s="130" t="str">
        <x:v>Sedan</x:v>
      </x:c>
      <x:c r="K204" s="130" t="str">
        <x:v>AWD</x:v>
      </x:c>
      <x:c r="L204" s="130" t="str">
        <x:v>2.0L AMG Turbo I4 Mild Hybrid</x:v>
      </x:c>
      <x:c r="M204" s="130" t="str">
        <x:v>Gasoline Mild Hybrid</x:v>
      </x:c>
      <x:c r="N204" s="130" t="str">
        <x:v>9-speed AMG MCT</x:v>
      </x:c>
      <x:c r="O204" s="130" t="str">
        <x:v>Great Deal</x:v>
      </x:c>
      <x:c r="P204" s="130" t="str">
        <x:v>W206</x:v>
      </x:c>
      <x:c r="Q204" s="145" t="str">
        <x:v>AMG performance model; very low mileage</x:v>
      </x:c>
    </x:row>
  </x:sheetData>
  <x:pageMargins left="0.7" right="0.7" top="0.75" bottom="0.75" header="0.3" footer="0.3"/>
  <x:tableParts count="1">
    <x:tablePart xmlns:r="http://schemas.openxmlformats.org/officeDocument/2006/relationships" r:id="R5b107bd31bc94f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22" hidden="0" customWidth="1"/>
    <x:col min="19" max="19" width="22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48" hidden="0" customWidth="1"/>
  </x:cols>
  <x:sheetData>
    <x:row r="1" ht="30" customHeight="1">
      <x:c r="A1" s="123" t="str">
        <x:v>record_id</x:v>
      </x:c>
      <x:c r="B1" s="123" t="str">
        <x:v>collection_date</x:v>
      </x:c>
      <x:c r="C1" s="123" t="str">
        <x:v>city</x:v>
      </x:c>
      <x:c r="D1" s="123" t="str">
        <x:v>make</x:v>
      </x:c>
      <x:c r="E1" s="123" t="str">
        <x:v>model</x:v>
      </x:c>
      <x:c r="F1" s="123" t="str">
        <x:v>trim</x:v>
      </x:c>
      <x:c r="G1" s="123" t="str">
        <x:v>model_year</x:v>
      </x:c>
      <x:c r="H1" s="123" t="str">
        <x:v>price_cad</x:v>
      </x:c>
      <x:c r="I1" s="123" t="str">
        <x:v>mileage_km</x:v>
      </x:c>
      <x:c r="J1" s="123" t="str">
        <x:v>body_style</x:v>
      </x:c>
      <x:c r="K1" s="123" t="str">
        <x:v>drivetrain</x:v>
      </x:c>
      <x:c r="L1" s="123" t="str">
        <x:v>engine</x:v>
      </x:c>
      <x:c r="M1" s="123" t="str">
        <x:v>fuel_type</x:v>
      </x:c>
      <x:c r="N1" s="123" t="str">
        <x:v>transmission</x:v>
      </x:c>
      <x:c r="O1" s="123" t="str">
        <x:v>deal_rating</x:v>
      </x:c>
      <x:c r="P1" s="123" t="str">
        <x:v>generation</x:v>
      </x:c>
      <x:c r="Q1" s="123" t="str">
        <x:v>notes</x:v>
      </x:c>
      <x:c r="R1" s="123" t="str">
        <x:v>analysis_model</x:v>
      </x:c>
      <x:c r="S1" s="123" t="str">
        <x:v>segment</x:v>
      </x:c>
      <x:c r="T1" s="123" t="str">
        <x:v>vehicle_age</x:v>
      </x:c>
      <x:c r="U1" s="123" t="str">
        <x:v>mileage_per_year</x:v>
      </x:c>
      <x:c r="V1" s="123" t="str">
        <x:v>powertrain_group</x:v>
      </x:c>
      <x:c r="W1" s="123" t="str">
        <x:v>performance_flag</x:v>
      </x:c>
      <x:c r="X1" s="123" t="str">
        <x:v>mileage_flag</x:v>
      </x:c>
      <x:c r="Y1" s="123" t="str">
        <x:v>analysis_include</x:v>
      </x:c>
      <x:c r="Z1" s="123" t="str">
        <x:v>exclusion_reason</x:v>
      </x:c>
    </x:row>
    <x:row r="2">
      <x:c r="A2" s="128" t="str">
        <x:v>CIVH_001</x:v>
      </x:c>
      <x:c r="B2" s="131" t="n">
        <x:v>46233</x:v>
      </x:c>
      <x:c r="C2" s="128" t="str">
        <x:v>Thornhill</x:v>
      </x:c>
      <x:c r="D2" s="128" t="str">
        <x:v>Honda</x:v>
      </x:c>
      <x:c r="E2" s="128" t="str">
        <x:v>Civic Hybrid</x:v>
      </x:c>
      <x:c r="F2" s="128" t="str">
        <x:v>Sport</x:v>
      </x:c>
      <x:c r="G2" s="134" t="n">
        <x:v>2026</x:v>
      </x:c>
      <x:c r="H2" s="137" t="n">
        <x:v>36160</x:v>
      </x:c>
      <x:c r="I2" s="140" t="n">
        <x:v>9328</x:v>
      </x:c>
      <x:c r="J2" s="128" t="str">
        <x:v>Sedan</x:v>
      </x:c>
      <x:c r="K2" s="128" t="str">
        <x:v>FWD</x:v>
      </x:c>
      <x:c r="L2" s="128" t="str">
        <x:v>2.0L I4 Hybrid</x:v>
      </x:c>
      <x:c r="M2" s="128" t="str">
        <x:v>Hybrid</x:v>
      </x:c>
      <x:c r="N2" s="128" t="str">
        <x:v>Automatic</x:v>
      </x:c>
      <x:c r="O2" s="128" t="str">
        <x:v>Fair Deal</x:v>
      </x:c>
      <x:c r="P2" s="128" t="str">
        <x:v>11th Generation</x:v>
      </x:c>
      <x:c r="Q2" s="143" t="str">
        <x:v>$332 below market; exterior gray</x:v>
      </x:c>
      <x:c r="R2" s="128" t="str">
        <x:v>Civic Hybrid</x:v>
      </x:c>
      <x:c r="S2" s="128" t="str">
        <x:v>Mainstream Compact</x:v>
      </x:c>
      <x:c r="T2" s="146" t="n">
        <x:f>2026-G2</x:f>
        <x:v>0</x:v>
      </x:c>
      <x:c r="U2" s="149" t="str">
        <x:f>IF(T2&gt;0,I2/T2,"")</x:f>
      </x:c>
      <x:c r="V2" s="128" t="str">
        <x:v>Hybrid</x:v>
      </x:c>
      <x:c r="W2" s="128" t="str">
        <x:v>No</x:v>
      </x:c>
      <x:c r="X2" s="128" t="str">
        <x:v>Normal</x:v>
      </x:c>
      <x:c r="Y2" s="128" t="str">
        <x:f>IF(R2="AMG C43","No","Yes")</x:f>
        <x:v>Yes</x:v>
      </x:c>
      <x:c r="Z2" s="143" t="str">
        <x:f>IF(Y2="No","Excluded from final analysis: AMG performance model outside the predefined C300 candidate category.","")</x:f>
      </x:c>
    </x:row>
    <x:row r="3">
      <x:c r="A3" s="129" t="str">
        <x:v>CIVH_002</x:v>
      </x:c>
      <x:c r="B3" s="132" t="n">
        <x:v>46233</x:v>
      </x:c>
      <x:c r="C3" s="129" t="str">
        <x:v>Whitby</x:v>
      </x:c>
      <x:c r="D3" s="129" t="str">
        <x:v>Honda</x:v>
      </x:c>
      <x:c r="E3" s="129" t="str">
        <x:v>Civic Hybrid</x:v>
      </x:c>
      <x:c r="F3" s="129" t="str">
        <x:v>Sport</x:v>
      </x:c>
      <x:c r="G3" s="135" t="n">
        <x:v>2025</x:v>
      </x:c>
      <x:c r="H3" s="138" t="n">
        <x:v>32900</x:v>
      </x:c>
      <x:c r="I3" s="141" t="n">
        <x:v>39312</x:v>
      </x:c>
      <x:c r="J3" s="129" t="str">
        <x:v>Sedan</x:v>
      </x:c>
      <x:c r="K3" s="129" t="str">
        <x:v>FWD</x:v>
      </x:c>
      <x:c r="L3" s="129" t="str">
        <x:v>2.0L I4 Hybrid</x:v>
      </x:c>
      <x:c r="M3" s="129" t="str">
        <x:v>Hybrid</x:v>
      </x:c>
      <x:c r="N3" s="129" t="str">
        <x:v>CVT</x:v>
      </x:c>
      <x:c r="O3" s="129" t="str">
        <x:v>Fair Deal</x:v>
      </x:c>
      <x:c r="P3" s="129" t="str">
        <x:v>11th Generation</x:v>
      </x:c>
      <x:c r="Q3" s="144" t="str">
        <x:v>$568 above market; exterior gray</x:v>
      </x:c>
      <x:c r="R3" s="129" t="str">
        <x:v>Civic Hybrid</x:v>
      </x:c>
      <x:c r="S3" s="129" t="str">
        <x:v>Mainstream Compact</x:v>
      </x:c>
      <x:c r="T3" s="147" t="n">
        <x:f>2026-G3</x:f>
        <x:v>1</x:v>
      </x:c>
      <x:c r="U3" s="150" t="n">
        <x:f>IF(T3&gt;0,I3/T3,"")</x:f>
        <x:v>39312</x:v>
      </x:c>
      <x:c r="V3" s="129" t="str">
        <x:v>Hybrid</x:v>
      </x:c>
      <x:c r="W3" s="129" t="str">
        <x:v>No</x:v>
      </x:c>
      <x:c r="X3" s="129" t="str">
        <x:v>Normal</x:v>
      </x:c>
      <x:c r="Y3" s="129" t="str">
        <x:f>IF(R3="AMG C43","No","Yes")</x:f>
        <x:v>Yes</x:v>
      </x:c>
      <x:c r="Z3" s="144" t="str">
        <x:f>IF(Y3="No","Excluded from final analysis: AMG performance model outside the predefined C300 candidate category.","")</x:f>
      </x:c>
    </x:row>
    <x:row r="4">
      <x:c r="A4" s="129" t="str">
        <x:v>CIVH_003</x:v>
      </x:c>
      <x:c r="B4" s="132" t="n">
        <x:v>46233</x:v>
      </x:c>
      <x:c r="C4" s="129" t="str">
        <x:v>Brantford</x:v>
      </x:c>
      <x:c r="D4" s="129" t="str">
        <x:v>Honda</x:v>
      </x:c>
      <x:c r="E4" s="129" t="str">
        <x:v>Civic Hybrid</x:v>
      </x:c>
      <x:c r="F4" s="129" t="str">
        <x:v>Sport</x:v>
      </x:c>
      <x:c r="G4" s="135" t="n">
        <x:v>2026</x:v>
      </x:c>
      <x:c r="H4" s="138" t="n">
        <x:v>36580</x:v>
      </x:c>
      <x:c r="I4" s="141" t="n">
        <x:v>1316</x:v>
      </x:c>
      <x:c r="J4" s="129" t="str">
        <x:v>Sedan</x:v>
      </x:c>
      <x:c r="K4" s="129" t="str">
        <x:v>FWD</x:v>
      </x:c>
      <x:c r="L4" s="129" t="str">
        <x:v>2.0L I4 Hybrid</x:v>
      </x:c>
      <x:c r="M4" s="129" t="str">
        <x:v>Hybrid</x:v>
      </x:c>
      <x:c r="N4" s="129" t="str">
        <x:v>CVT</x:v>
      </x:c>
      <x:c r="O4" s="129" t="str">
        <x:v>Good Deal</x:v>
      </x:c>
      <x:c r="P4" s="129" t="str">
        <x:v>11th Generation</x:v>
      </x:c>
      <x:c r="Q4" s="144" t="str">
        <x:v>$723 below market; mileage too low; service loaner; exterior black</x:v>
      </x:c>
      <x:c r="R4" s="129" t="str">
        <x:v>Civic Hybrid</x:v>
      </x:c>
      <x:c r="S4" s="129" t="str">
        <x:v>Mainstream Compact</x:v>
      </x:c>
      <x:c r="T4" s="147" t="n">
        <x:f>2026-G4</x:f>
        <x:v>0</x:v>
      </x:c>
      <x:c r="U4" s="150" t="str">
        <x:f>IF(T4&gt;0,I4/T4,"")</x:f>
      </x:c>
      <x:c r="V4" s="129" t="str">
        <x:v>Hybrid</x:v>
      </x:c>
      <x:c r="W4" s="129" t="str">
        <x:v>No</x:v>
      </x:c>
      <x:c r="X4" s="129" t="str">
        <x:v>Very Low</x:v>
      </x:c>
      <x:c r="Y4" s="129" t="str">
        <x:f>IF(R4="AMG C43","No","Yes")</x:f>
        <x:v>Yes</x:v>
      </x:c>
      <x:c r="Z4" s="144" t="str">
        <x:f>IF(Y4="No","Excluded from final analysis: AMG performance model outside the predefined C300 candidate category.","")</x:f>
      </x:c>
    </x:row>
    <x:row r="5">
      <x:c r="A5" s="129" t="str">
        <x:v>CIVH_004</x:v>
      </x:c>
      <x:c r="B5" s="132" t="n">
        <x:v>46233</x:v>
      </x:c>
      <x:c r="C5" s="129" t="str">
        <x:v>Richmond Hill</x:v>
      </x:c>
      <x:c r="D5" s="129" t="str">
        <x:v>Honda</x:v>
      </x:c>
      <x:c r="E5" s="129" t="str">
        <x:v>Civic Hybrid</x:v>
      </x:c>
      <x:c r="F5" s="129" t="str">
        <x:v>Sport</x:v>
      </x:c>
      <x:c r="G5" s="135" t="n">
        <x:v>2025</x:v>
      </x:c>
      <x:c r="H5" s="138" t="n">
        <x:v>31500</x:v>
      </x:c>
      <x:c r="I5" s="141" t="n">
        <x:v>17782</x:v>
      </x:c>
      <x:c r="J5" s="129" t="str">
        <x:v>Sedan</x:v>
      </x:c>
      <x:c r="K5" s="129" t="str">
        <x:v>FWD</x:v>
      </x:c>
      <x:c r="L5" s="129" t="str">
        <x:v>2.0L I4 Hybrid</x:v>
      </x:c>
      <x:c r="M5" s="129" t="str">
        <x:v>Hybrid</x:v>
      </x:c>
      <x:c r="N5" s="129" t="str">
        <x:v>CVT</x:v>
      </x:c>
      <x:c r="O5" s="129" t="str">
        <x:v>Great Deal</x:v>
      </x:c>
      <x:c r="P5" s="129" t="str">
        <x:v>11th Generation</x:v>
      </x:c>
      <x:c r="Q5" s="144" t="str">
        <x:v>$1,861 below market; Certified Pre-Owned; exterior silver</x:v>
      </x:c>
      <x:c r="R5" s="129" t="str">
        <x:v>Civic Hybrid</x:v>
      </x:c>
      <x:c r="S5" s="129" t="str">
        <x:v>Mainstream Compact</x:v>
      </x:c>
      <x:c r="T5" s="147" t="n">
        <x:f>2026-G5</x:f>
        <x:v>1</x:v>
      </x:c>
      <x:c r="U5" s="150" t="n">
        <x:f>IF(T5&gt;0,I5/T5,"")</x:f>
        <x:v>17782</x:v>
      </x:c>
      <x:c r="V5" s="129" t="str">
        <x:v>Hybrid</x:v>
      </x:c>
      <x:c r="W5" s="129" t="str">
        <x:v>No</x:v>
      </x:c>
      <x:c r="X5" s="129" t="str">
        <x:v>Normal</x:v>
      </x:c>
      <x:c r="Y5" s="129" t="str">
        <x:f>IF(R5="AMG C43","No","Yes")</x:f>
        <x:v>Yes</x:v>
      </x:c>
      <x:c r="Z5" s="144" t="str">
        <x:f>IF(Y5="No","Excluded from final analysis: AMG performance model outside the predefined C300 candidate category.","")</x:f>
      </x:c>
    </x:row>
    <x:row r="6">
      <x:c r="A6" s="129" t="str">
        <x:v>CIVH_005</x:v>
      </x:c>
      <x:c r="B6" s="132" t="n">
        <x:v>46233</x:v>
      </x:c>
      <x:c r="C6" s="129" t="str">
        <x:v>Richmond Hill</x:v>
      </x:c>
      <x:c r="D6" s="129" t="str">
        <x:v>Honda</x:v>
      </x:c>
      <x:c r="E6" s="129" t="str">
        <x:v>Civic Hybrid</x:v>
      </x:c>
      <x:c r="F6" s="129" t="str">
        <x:v>Sport</x:v>
      </x:c>
      <x:c r="G6" s="135" t="n">
        <x:v>2025</x:v>
      </x:c>
      <x:c r="H6" s="138" t="n">
        <x:v>31909</x:v>
      </x:c>
      <x:c r="I6" s="141" t="n">
        <x:v>6466</x:v>
      </x:c>
      <x:c r="J6" s="129" t="str">
        <x:v>Sedan</x:v>
      </x:c>
      <x:c r="K6" s="129" t="str">
        <x:v>FWD</x:v>
      </x:c>
      <x:c r="L6" s="129" t="str">
        <x:v>2.0L I4 Hybrid</x:v>
      </x:c>
      <x:c r="M6" s="129" t="str">
        <x:v>Hybrid</x:v>
      </x:c>
      <x:c r="N6" s="129" t="str">
        <x:v>CVT</x:v>
      </x:c>
      <x:c r="O6" s="129" t="str">
        <x:v>Great Deal</x:v>
      </x:c>
      <x:c r="P6" s="129" t="str">
        <x:v>11th Generation</x:v>
      </x:c>
      <x:c r="Q6" s="144" t="str">
        <x:v>$2,002 below market; Certified Pre-Owned; exterior white</x:v>
      </x:c>
      <x:c r="R6" s="129" t="str">
        <x:v>Civic Hybrid</x:v>
      </x:c>
      <x:c r="S6" s="129" t="str">
        <x:v>Mainstream Compact</x:v>
      </x:c>
      <x:c r="T6" s="147" t="n">
        <x:f>2026-G6</x:f>
        <x:v>1</x:v>
      </x:c>
      <x:c r="U6" s="150" t="n">
        <x:f>IF(T6&gt;0,I6/T6,"")</x:f>
        <x:v>6466</x:v>
      </x:c>
      <x:c r="V6" s="129" t="str">
        <x:v>Hybrid</x:v>
      </x:c>
      <x:c r="W6" s="129" t="str">
        <x:v>No</x:v>
      </x:c>
      <x:c r="X6" s="129" t="str">
        <x:v>Normal</x:v>
      </x:c>
      <x:c r="Y6" s="129" t="str">
        <x:f>IF(R6="AMG C43","No","Yes")</x:f>
        <x:v>Yes</x:v>
      </x:c>
      <x:c r="Z6" s="144" t="str">
        <x:f>IF(Y6="No","Excluded from final analysis: AMG performance model outside the predefined C300 candidate category.","")</x:f>
      </x:c>
    </x:row>
    <x:row r="7">
      <x:c r="A7" s="129" t="str">
        <x:v>CIVH_006</x:v>
      </x:c>
      <x:c r="B7" s="132" t="n">
        <x:v>46233</x:v>
      </x:c>
      <x:c r="C7" s="129" t="str">
        <x:v>Not recorded</x:v>
      </x:c>
      <x:c r="D7" s="129" t="str">
        <x:v>Honda</x:v>
      </x:c>
      <x:c r="E7" s="129" t="str">
        <x:v>Civic Hybrid</x:v>
      </x:c>
      <x:c r="F7" s="129" t="str">
        <x:v>Sport Touring</x:v>
      </x:c>
      <x:c r="G7" s="135" t="n">
        <x:v>2026</x:v>
      </x:c>
      <x:c r="H7" s="138" t="n">
        <x:v>35024</x:v>
      </x:c>
      <x:c r="I7" s="141" t="n">
        <x:v>12232</x:v>
      </x:c>
      <x:c r="J7" s="129" t="str">
        <x:v>Sedan</x:v>
      </x:c>
      <x:c r="K7" s="129" t="str">
        <x:v>FWD</x:v>
      </x:c>
      <x:c r="L7" s="129" t="str">
        <x:v>2.0L I4 Hybrid</x:v>
      </x:c>
      <x:c r="M7" s="129" t="str">
        <x:v>Hybrid</x:v>
      </x:c>
      <x:c r="N7" s="129" t="str">
        <x:v>Not listed</x:v>
      </x:c>
      <x:c r="O7" s="129" t="str">
        <x:v>Great Deal</x:v>
      </x:c>
      <x:c r="P7" s="129" t="str">
        <x:v>11th Generation</x:v>
      </x:c>
      <x:c r="Q7" s="144" t="str">
        <x:v>$263 below market; price includes $529 delivery to Mississauga</x:v>
      </x:c>
      <x:c r="R7" s="129" t="str">
        <x:v>Civic Hybrid</x:v>
      </x:c>
      <x:c r="S7" s="129" t="str">
        <x:v>Mainstream Compact</x:v>
      </x:c>
      <x:c r="T7" s="147" t="n">
        <x:f>2026-G7</x:f>
        <x:v>0</x:v>
      </x:c>
      <x:c r="U7" s="150" t="str">
        <x:f>IF(T7&gt;0,I7/T7,"")</x:f>
      </x:c>
      <x:c r="V7" s="129" t="str">
        <x:v>Hybrid</x:v>
      </x:c>
      <x:c r="W7" s="129" t="str">
        <x:v>No</x:v>
      </x:c>
      <x:c r="X7" s="129" t="str">
        <x:v>Normal</x:v>
      </x:c>
      <x:c r="Y7" s="129" t="str">
        <x:f>IF(R7="AMG C43","No","Yes")</x:f>
        <x:v>Yes</x:v>
      </x:c>
      <x:c r="Z7" s="144" t="str">
        <x:f>IF(Y7="No","Excluded from final analysis: AMG performance model outside the predefined C300 candidate category.","")</x:f>
      </x:c>
    </x:row>
    <x:row r="8">
      <x:c r="A8" s="129" t="str">
        <x:v>CIVH_007</x:v>
      </x:c>
      <x:c r="B8" s="132" t="n">
        <x:v>46233</x:v>
      </x:c>
      <x:c r="C8" s="129" t="str">
        <x:v>Scarborough</x:v>
      </x:c>
      <x:c r="D8" s="129" t="str">
        <x:v>Honda</x:v>
      </x:c>
      <x:c r="E8" s="129" t="str">
        <x:v>Civic Hybrid</x:v>
      </x:c>
      <x:c r="F8" s="129" t="str">
        <x:v>Sport Touring</x:v>
      </x:c>
      <x:c r="G8" s="135" t="n">
        <x:v>2026</x:v>
      </x:c>
      <x:c r="H8" s="138" t="n">
        <x:v>35990</x:v>
      </x:c>
      <x:c r="I8" s="141" t="n">
        <x:v>2196</x:v>
      </x:c>
      <x:c r="J8" s="129" t="str">
        <x:v>Hatchback</x:v>
      </x:c>
      <x:c r="K8" s="129" t="str">
        <x:v>FWD</x:v>
      </x:c>
      <x:c r="L8" s="129" t="str">
        <x:v>2.0L I4 Hybrid</x:v>
      </x:c>
      <x:c r="M8" s="129" t="str">
        <x:v>Hybrid</x:v>
      </x:c>
      <x:c r="N8" s="129" t="str">
        <x:v>Automatic</x:v>
      </x:c>
      <x:c r="O8" s="129" t="str">
        <x:v>Great Deal</x:v>
      </x:c>
      <x:c r="P8" s="129" t="str">
        <x:v>11th Generation</x:v>
      </x:c>
      <x:c r="Q8" s="144" t="str">
        <x:v>$3,063 below market; exterior blue; cargo volume 693 L</x:v>
      </x:c>
      <x:c r="R8" s="129" t="str">
        <x:v>Civic Hybrid</x:v>
      </x:c>
      <x:c r="S8" s="129" t="str">
        <x:v>Mainstream Compact</x:v>
      </x:c>
      <x:c r="T8" s="147" t="n">
        <x:f>2026-G8</x:f>
        <x:v>0</x:v>
      </x:c>
      <x:c r="U8" s="150" t="str">
        <x:f>IF(T8&gt;0,I8/T8,"")</x:f>
      </x:c>
      <x:c r="V8" s="129" t="str">
        <x:v>Hybrid</x:v>
      </x:c>
      <x:c r="W8" s="129" t="str">
        <x:v>No</x:v>
      </x:c>
      <x:c r="X8" s="129" t="str">
        <x:v>Normal</x:v>
      </x:c>
      <x:c r="Y8" s="129" t="str">
        <x:f>IF(R8="AMG C43","No","Yes")</x:f>
        <x:v>Yes</x:v>
      </x:c>
      <x:c r="Z8" s="144" t="str">
        <x:f>IF(Y8="No","Excluded from final analysis: AMG performance model outside the predefined C300 candidate category.","")</x:f>
      </x:c>
    </x:row>
    <x:row r="9">
      <x:c r="A9" s="129" t="str">
        <x:v>CIVH_008</x:v>
      </x:c>
      <x:c r="B9" s="132" t="n">
        <x:v>46233</x:v>
      </x:c>
      <x:c r="C9" s="129" t="str">
        <x:v>Scarborough</x:v>
      </x:c>
      <x:c r="D9" s="129" t="str">
        <x:v>Honda</x:v>
      </x:c>
      <x:c r="E9" s="129" t="str">
        <x:v>Civic Hybrid</x:v>
      </x:c>
      <x:c r="F9" s="129" t="str">
        <x:v>Sport</x:v>
      </x:c>
      <x:c r="G9" s="135" t="n">
        <x:v>2025</x:v>
      </x:c>
      <x:c r="H9" s="138" t="n">
        <x:v>28750</x:v>
      </x:c>
      <x:c r="I9" s="141" t="n">
        <x:v>51608</x:v>
      </x:c>
      <x:c r="J9" s="129" t="str">
        <x:v>Sedan</x:v>
      </x:c>
      <x:c r="K9" s="129" t="str">
        <x:v>FWD</x:v>
      </x:c>
      <x:c r="L9" s="129" t="str">
        <x:v>2.0L I4 Hybrid</x:v>
      </x:c>
      <x:c r="M9" s="129" t="str">
        <x:v>Hybrid</x:v>
      </x:c>
      <x:c r="N9" s="129" t="str">
        <x:v>CVT</x:v>
      </x:c>
      <x:c r="O9" s="129" t="str">
        <x:v>Great Deal</x:v>
      </x:c>
      <x:c r="P9" s="129" t="str">
        <x:v>11th Generation</x:v>
      </x:c>
      <x:c r="Q9" s="144" t="str">
        <x:v>$2,967 below market; exterior red</x:v>
      </x:c>
      <x:c r="R9" s="129" t="str">
        <x:v>Civic Hybrid</x:v>
      </x:c>
      <x:c r="S9" s="129" t="str">
        <x:v>Mainstream Compact</x:v>
      </x:c>
      <x:c r="T9" s="147" t="n">
        <x:f>2026-G9</x:f>
        <x:v>1</x:v>
      </x:c>
      <x:c r="U9" s="150" t="n">
        <x:f>IF(T9&gt;0,I9/T9,"")</x:f>
        <x:v>51608</x:v>
      </x:c>
      <x:c r="V9" s="129" t="str">
        <x:v>Hybrid</x:v>
      </x:c>
      <x:c r="W9" s="129" t="str">
        <x:v>No</x:v>
      </x:c>
      <x:c r="X9" s="129" t="str">
        <x:v>Normal</x:v>
      </x:c>
      <x:c r="Y9" s="129" t="str">
        <x:f>IF(R9="AMG C43","No","Yes")</x:f>
        <x:v>Yes</x:v>
      </x:c>
      <x:c r="Z9" s="144" t="str">
        <x:f>IF(Y9="No","Excluded from final analysis: AMG performance model outside the predefined C300 candidate category.","")</x:f>
      </x:c>
    </x:row>
    <x:row r="10">
      <x:c r="A10" s="129" t="str">
        <x:v>CIVH_009</x:v>
      </x:c>
      <x:c r="B10" s="132" t="n">
        <x:v>46233</x:v>
      </x:c>
      <x:c r="C10" s="129" t="str">
        <x:v>Kitchener</x:v>
      </x:c>
      <x:c r="D10" s="129" t="str">
        <x:v>Honda</x:v>
      </x:c>
      <x:c r="E10" s="129" t="str">
        <x:v>Civic Hybrid</x:v>
      </x:c>
      <x:c r="F10" s="129" t="str">
        <x:v>Sport Touring</x:v>
      </x:c>
      <x:c r="G10" s="135" t="n">
        <x:v>2025</x:v>
      </x:c>
      <x:c r="H10" s="138" t="n">
        <x:v>30880</x:v>
      </x:c>
      <x:c r="I10" s="141" t="n">
        <x:v>45967</x:v>
      </x:c>
      <x:c r="J10" s="129" t="str">
        <x:v>Sedan</x:v>
      </x:c>
      <x:c r="K10" s="129" t="str">
        <x:v>FWD</x:v>
      </x:c>
      <x:c r="L10" s="129" t="str">
        <x:v>2.0L I4 Hybrid</x:v>
      </x:c>
      <x:c r="M10" s="129" t="str">
        <x:v>Hybrid</x:v>
      </x:c>
      <x:c r="N10" s="129" t="str">
        <x:v>Automatic</x:v>
      </x:c>
      <x:c r="O10" s="129" t="str">
        <x:v>Great Deal</x:v>
      </x:c>
      <x:c r="P10" s="129" t="str">
        <x:v>11th Generation</x:v>
      </x:c>
      <x:c r="Q10" s="144" t="str">
        <x:v>$3,372 below market; exterior silver</x:v>
      </x:c>
      <x:c r="R10" s="129" t="str">
        <x:v>Civic Hybrid</x:v>
      </x:c>
      <x:c r="S10" s="129" t="str">
        <x:v>Mainstream Compact</x:v>
      </x:c>
      <x:c r="T10" s="147" t="n">
        <x:f>2026-G10</x:f>
        <x:v>1</x:v>
      </x:c>
      <x:c r="U10" s="150" t="n">
        <x:f>IF(T10&gt;0,I10/T10,"")</x:f>
        <x:v>45967</x:v>
      </x:c>
      <x:c r="V10" s="129" t="str">
        <x:v>Hybrid</x:v>
      </x:c>
      <x:c r="W10" s="129" t="str">
        <x:v>No</x:v>
      </x:c>
      <x:c r="X10" s="129" t="str">
        <x:v>Normal</x:v>
      </x:c>
      <x:c r="Y10" s="129" t="str">
        <x:f>IF(R10="AMG C43","No","Yes")</x:f>
        <x:v>Yes</x:v>
      </x:c>
      <x:c r="Z10" s="144" t="str">
        <x:f>IF(Y10="No","Excluded from final analysis: AMG performance model outside the predefined C300 candidate category.","")</x:f>
      </x:c>
    </x:row>
    <x:row r="11">
      <x:c r="A11" s="129" t="str">
        <x:v>CIVH_010</x:v>
      </x:c>
      <x:c r="B11" s="132" t="n">
        <x:v>46233</x:v>
      </x:c>
      <x:c r="C11" s="129" t="str">
        <x:v>Mississauga</x:v>
      </x:c>
      <x:c r="D11" s="129" t="str">
        <x:v>Honda</x:v>
      </x:c>
      <x:c r="E11" s="129" t="str">
        <x:v>Civic Hybrid</x:v>
      </x:c>
      <x:c r="F11" s="129" t="str">
        <x:v>Sport</x:v>
      </x:c>
      <x:c r="G11" s="135" t="n">
        <x:v>2026</x:v>
      </x:c>
      <x:c r="H11" s="138" t="n">
        <x:v>35995</x:v>
      </x:c>
      <x:c r="I11" s="141" t="n">
        <x:v>3760</x:v>
      </x:c>
      <x:c r="J11" s="129" t="str">
        <x:v>Sedan</x:v>
      </x:c>
      <x:c r="K11" s="129" t="str">
        <x:v>FWD</x:v>
      </x:c>
      <x:c r="L11" s="129" t="str">
        <x:v>2.0L I4 Hybrid</x:v>
      </x:c>
      <x:c r="M11" s="129" t="str">
        <x:v>Hybrid</x:v>
      </x:c>
      <x:c r="N11" s="129" t="str">
        <x:v>Automatic</x:v>
      </x:c>
      <x:c r="O11" s="129" t="str">
        <x:v>Good Deal</x:v>
      </x:c>
      <x:c r="P11" s="129" t="str">
        <x:v>11th Generation</x:v>
      </x:c>
      <x:c r="Q11" s="144" t="str">
        <x:v>$809 below market; exterior color not listed</x:v>
      </x:c>
      <x:c r="R11" s="129" t="str">
        <x:v>Civic Hybrid</x:v>
      </x:c>
      <x:c r="S11" s="129" t="str">
        <x:v>Mainstream Compact</x:v>
      </x:c>
      <x:c r="T11" s="147" t="n">
        <x:f>2026-G11</x:f>
        <x:v>0</x:v>
      </x:c>
      <x:c r="U11" s="150" t="str">
        <x:f>IF(T11&gt;0,I11/T11,"")</x:f>
      </x:c>
      <x:c r="V11" s="129" t="str">
        <x:v>Hybrid</x:v>
      </x:c>
      <x:c r="W11" s="129" t="str">
        <x:v>No</x:v>
      </x:c>
      <x:c r="X11" s="129" t="str">
        <x:v>Normal</x:v>
      </x:c>
      <x:c r="Y11" s="129" t="str">
        <x:f>IF(R11="AMG C43","No","Yes")</x:f>
        <x:v>Yes</x:v>
      </x:c>
      <x:c r="Z11" s="144" t="str">
        <x:f>IF(Y11="No","Excluded from final analysis: AMG performance model outside the predefined C300 candidate category.","")</x:f>
      </x:c>
    </x:row>
    <x:row r="12">
      <x:c r="A12" s="129" t="str">
        <x:v>CIVH_011</x:v>
      </x:c>
      <x:c r="B12" s="132" t="n">
        <x:v>46233</x:v>
      </x:c>
      <x:c r="C12" s="129" t="str">
        <x:v>Whitby</x:v>
      </x:c>
      <x:c r="D12" s="129" t="str">
        <x:v>Honda</x:v>
      </x:c>
      <x:c r="E12" s="129" t="str">
        <x:v>Civic Hybrid</x:v>
      </x:c>
      <x:c r="F12" s="129" t="str">
        <x:v>Sport</x:v>
      </x:c>
      <x:c r="G12" s="135" t="n">
        <x:v>2026</x:v>
      </x:c>
      <x:c r="H12" s="138" t="n">
        <x:v>36200</x:v>
      </x:c>
      <x:c r="I12" s="141" t="n">
        <x:v>3513</x:v>
      </x:c>
      <x:c r="J12" s="129" t="str">
        <x:v>Sedan</x:v>
      </x:c>
      <x:c r="K12" s="129" t="str">
        <x:v>FWD</x:v>
      </x:c>
      <x:c r="L12" s="129" t="str">
        <x:v>2.0L I4 Hybrid</x:v>
      </x:c>
      <x:c r="M12" s="129" t="str">
        <x:v>Hybrid</x:v>
      </x:c>
      <x:c r="N12" s="129" t="str">
        <x:v>CVT</x:v>
      </x:c>
      <x:c r="O12" s="129" t="str">
        <x:v>Good Deal</x:v>
      </x:c>
      <x:c r="P12" s="129" t="str">
        <x:v>11th Generation</x:v>
      </x:c>
      <x:c r="Q12" s="144" t="str">
        <x:v>$617 below market; exterior silver</x:v>
      </x:c>
      <x:c r="R12" s="129" t="str">
        <x:v>Civic Hybrid</x:v>
      </x:c>
      <x:c r="S12" s="129" t="str">
        <x:v>Mainstream Compact</x:v>
      </x:c>
      <x:c r="T12" s="147" t="n">
        <x:f>2026-G12</x:f>
        <x:v>0</x:v>
      </x:c>
      <x:c r="U12" s="150" t="str">
        <x:f>IF(T12&gt;0,I12/T12,"")</x:f>
      </x:c>
      <x:c r="V12" s="129" t="str">
        <x:v>Hybrid</x:v>
      </x:c>
      <x:c r="W12" s="129" t="str">
        <x:v>No</x:v>
      </x:c>
      <x:c r="X12" s="129" t="str">
        <x:v>Normal</x:v>
      </x:c>
      <x:c r="Y12" s="129" t="str">
        <x:f>IF(R12="AMG C43","No","Yes")</x:f>
        <x:v>Yes</x:v>
      </x:c>
      <x:c r="Z12" s="144" t="str">
        <x:f>IF(Y12="No","Excluded from final analysis: AMG performance model outside the predefined C300 candidate category.","")</x:f>
      </x:c>
    </x:row>
    <x:row r="13">
      <x:c r="A13" s="129" t="str">
        <x:v>CIVH_012</x:v>
      </x:c>
      <x:c r="B13" s="132" t="n">
        <x:v>46233</x:v>
      </x:c>
      <x:c r="C13" s="129" t="str">
        <x:v>Mississauga</x:v>
      </x:c>
      <x:c r="D13" s="129" t="str">
        <x:v>Honda</x:v>
      </x:c>
      <x:c r="E13" s="129" t="str">
        <x:v>Civic Hybrid</x:v>
      </x:c>
      <x:c r="F13" s="129" t="str">
        <x:v>Sport Touring</x:v>
      </x:c>
      <x:c r="G13" s="135" t="n">
        <x:v>2025</x:v>
      </x:c>
      <x:c r="H13" s="138" t="n">
        <x:v>34500</x:v>
      </x:c>
      <x:c r="I13" s="141" t="n">
        <x:v>15400</x:v>
      </x:c>
      <x:c r="J13" s="129" t="str">
        <x:v>Sedan</x:v>
      </x:c>
      <x:c r="K13" s="129" t="str">
        <x:v>FWD</x:v>
      </x:c>
      <x:c r="L13" s="129" t="str">
        <x:v>2.0L I4 Hybrid</x:v>
      </x:c>
      <x:c r="M13" s="129" t="str">
        <x:v>Hybrid</x:v>
      </x:c>
      <x:c r="N13" s="129" t="str">
        <x:v>Automatic</x:v>
      </x:c>
      <x:c r="O13" s="129" t="str">
        <x:v>Good Deal</x:v>
      </x:c>
      <x:c r="P13" s="129" t="str">
        <x:v>11th Generation</x:v>
      </x:c>
      <x:c r="Q13" s="144" t="str">
        <x:v>$703 below market; exterior black</x:v>
      </x:c>
      <x:c r="R13" s="129" t="str">
        <x:v>Civic Hybrid</x:v>
      </x:c>
      <x:c r="S13" s="129" t="str">
        <x:v>Mainstream Compact</x:v>
      </x:c>
      <x:c r="T13" s="147" t="n">
        <x:f>2026-G13</x:f>
        <x:v>1</x:v>
      </x:c>
      <x:c r="U13" s="150" t="n">
        <x:f>IF(T13&gt;0,I13/T13,"")</x:f>
        <x:v>15400</x:v>
      </x:c>
      <x:c r="V13" s="129" t="str">
        <x:v>Hybrid</x:v>
      </x:c>
      <x:c r="W13" s="129" t="str">
        <x:v>No</x:v>
      </x:c>
      <x:c r="X13" s="129" t="str">
        <x:v>Normal</x:v>
      </x:c>
      <x:c r="Y13" s="129" t="str">
        <x:f>IF(R13="AMG C43","No","Yes")</x:f>
        <x:v>Yes</x:v>
      </x:c>
      <x:c r="Z13" s="144" t="str">
        <x:f>IF(Y13="No","Excluded from final analysis: AMG performance model outside the predefined C300 candidate category.","")</x:f>
      </x:c>
    </x:row>
    <x:row r="14">
      <x:c r="A14" s="129" t="str">
        <x:v>CIVH_013</x:v>
      </x:c>
      <x:c r="B14" s="132" t="n">
        <x:v>46233</x:v>
      </x:c>
      <x:c r="C14" s="129" t="str">
        <x:v>Not recorded</x:v>
      </x:c>
      <x:c r="D14" s="129" t="str">
        <x:v>Honda</x:v>
      </x:c>
      <x:c r="E14" s="129" t="str">
        <x:v>Civic Hybrid</x:v>
      </x:c>
      <x:c r="F14" s="129" t="str">
        <x:v>Sport</x:v>
      </x:c>
      <x:c r="G14" s="135" t="n">
        <x:v>2025</x:v>
      </x:c>
      <x:c r="H14" s="138" t="n">
        <x:v>33223</x:v>
      </x:c>
      <x:c r="I14" s="141" t="n">
        <x:v>26199</x:v>
      </x:c>
      <x:c r="J14" s="129" t="str">
        <x:v>Hatchback</x:v>
      </x:c>
      <x:c r="K14" s="129" t="str">
        <x:v>FWD</x:v>
      </x:c>
      <x:c r="L14" s="129" t="str">
        <x:v>2.0L I4 Hybrid</x:v>
      </x:c>
      <x:c r="M14" s="129" t="str">
        <x:v>Hybrid</x:v>
      </x:c>
      <x:c r="N14" s="129" t="str">
        <x:v>CVT</x:v>
      </x:c>
      <x:c r="O14" s="129" t="str">
        <x:v>Good Deal</x:v>
      </x:c>
      <x:c r="P14" s="129" t="str">
        <x:v>11th Generation</x:v>
      </x:c>
      <x:c r="Q14" s="144" t="str">
        <x:v>$259 below market; includes $500 delivery to Mississauga; exterior red</x:v>
      </x:c>
      <x:c r="R14" s="129" t="str">
        <x:v>Civic Hybrid</x:v>
      </x:c>
      <x:c r="S14" s="129" t="str">
        <x:v>Mainstream Compact</x:v>
      </x:c>
      <x:c r="T14" s="147" t="n">
        <x:f>2026-G14</x:f>
        <x:v>1</x:v>
      </x:c>
      <x:c r="U14" s="150" t="n">
        <x:f>IF(T14&gt;0,I14/T14,"")</x:f>
        <x:v>26199</x:v>
      </x:c>
      <x:c r="V14" s="129" t="str">
        <x:v>Hybrid</x:v>
      </x:c>
      <x:c r="W14" s="129" t="str">
        <x:v>No</x:v>
      </x:c>
      <x:c r="X14" s="129" t="str">
        <x:v>Normal</x:v>
      </x:c>
      <x:c r="Y14" s="129" t="str">
        <x:f>IF(R14="AMG C43","No","Yes")</x:f>
        <x:v>Yes</x:v>
      </x:c>
      <x:c r="Z14" s="144" t="str">
        <x:f>IF(Y14="No","Excluded from final analysis: AMG performance model outside the predefined C300 candidate category.","")</x:f>
      </x:c>
    </x:row>
    <x:row r="15">
      <x:c r="A15" s="129" t="str">
        <x:v>CIVH_014</x:v>
      </x:c>
      <x:c r="B15" s="132" t="n">
        <x:v>46233</x:v>
      </x:c>
      <x:c r="C15" s="129" t="str">
        <x:v>Not recorded</x:v>
      </x:c>
      <x:c r="D15" s="129" t="str">
        <x:v>Honda</x:v>
      </x:c>
      <x:c r="E15" s="129" t="str">
        <x:v>Civic Hybrid</x:v>
      </x:c>
      <x:c r="F15" s="129" t="str">
        <x:v>Sport</x:v>
      </x:c>
      <x:c r="G15" s="135" t="n">
        <x:v>2026</x:v>
      </x:c>
      <x:c r="H15" s="138" t="n">
        <x:v>36097</x:v>
      </x:c>
      <x:c r="I15" s="141" t="n">
        <x:v>1677</x:v>
      </x:c>
      <x:c r="J15" s="129" t="str">
        <x:v>Sedan</x:v>
      </x:c>
      <x:c r="K15" s="129" t="str">
        <x:v>FWD</x:v>
      </x:c>
      <x:c r="L15" s="129" t="str">
        <x:v>2.0L I4 Hybrid</x:v>
      </x:c>
      <x:c r="M15" s="129" t="str">
        <x:v>Hybrid</x:v>
      </x:c>
      <x:c r="N15" s="129" t="str">
        <x:v>Automatic</x:v>
      </x:c>
      <x:c r="O15" s="129" t="str">
        <x:v>Good Deal</x:v>
      </x:c>
      <x:c r="P15" s="129" t="str">
        <x:v>11th Generation</x:v>
      </x:c>
      <x:c r="Q15" s="144" t="str">
        <x:v>$923 below market; includes $1,108 delivery to Mississauga; exterior red</x:v>
      </x:c>
      <x:c r="R15" s="129" t="str">
        <x:v>Civic Hybrid</x:v>
      </x:c>
      <x:c r="S15" s="129" t="str">
        <x:v>Mainstream Compact</x:v>
      </x:c>
      <x:c r="T15" s="147" t="n">
        <x:f>2026-G15</x:f>
        <x:v>0</x:v>
      </x:c>
      <x:c r="U15" s="150" t="str">
        <x:f>IF(T15&gt;0,I15/T15,"")</x:f>
      </x:c>
      <x:c r="V15" s="129" t="str">
        <x:v>Hybrid</x:v>
      </x:c>
      <x:c r="W15" s="129" t="str">
        <x:v>No</x:v>
      </x:c>
      <x:c r="X15" s="129" t="str">
        <x:v>Very Low</x:v>
      </x:c>
      <x:c r="Y15" s="129" t="str">
        <x:f>IF(R15="AMG C43","No","Yes")</x:f>
        <x:v>Yes</x:v>
      </x:c>
      <x:c r="Z15" s="144" t="str">
        <x:f>IF(Y15="No","Excluded from final analysis: AMG performance model outside the predefined C300 candidate category.","")</x:f>
      </x:c>
    </x:row>
    <x:row r="16">
      <x:c r="A16" s="129" t="str">
        <x:v>CIVH_015</x:v>
      </x:c>
      <x:c r="B16" s="132" t="n">
        <x:v>46233</x:v>
      </x:c>
      <x:c r="C16" s="129" t="str">
        <x:v>Concord</x:v>
      </x:c>
      <x:c r="D16" s="129" t="str">
        <x:v>Honda</x:v>
      </x:c>
      <x:c r="E16" s="129" t="str">
        <x:v>Civic Hybrid</x:v>
      </x:c>
      <x:c r="F16" s="129" t="str">
        <x:v>Sport</x:v>
      </x:c>
      <x:c r="G16" s="135" t="n">
        <x:v>2025</x:v>
      </x:c>
      <x:c r="H16" s="138" t="n">
        <x:v>25888</x:v>
      </x:c>
      <x:c r="I16" s="141" t="n">
        <x:v>153500</x:v>
      </x:c>
      <x:c r="J16" s="129" t="str">
        <x:v>Sedan</x:v>
      </x:c>
      <x:c r="K16" s="129" t="str">
        <x:v>FWD</x:v>
      </x:c>
      <x:c r="L16" s="129" t="str">
        <x:v>2.0L I4 Hybrid</x:v>
      </x:c>
      <x:c r="M16" s="129" t="str">
        <x:v>Hybrid</x:v>
      </x:c>
      <x:c r="N16" s="129" t="str">
        <x:v>CVT</x:v>
      </x:c>
      <x:c r="O16" s="129" t="str">
        <x:v>Good Deal</x:v>
      </x:c>
      <x:c r="P16" s="129" t="str">
        <x:v>11th Generation</x:v>
      </x:c>
      <x:c r="Q16" s="144" t="str">
        <x:v>$875 below market; unusually high mileage; exterior silver</x:v>
      </x:c>
      <x:c r="R16" s="129" t="str">
        <x:v>Civic Hybrid</x:v>
      </x:c>
      <x:c r="S16" s="129" t="str">
        <x:v>Mainstream Compact</x:v>
      </x:c>
      <x:c r="T16" s="147" t="n">
        <x:f>2026-G16</x:f>
        <x:v>1</x:v>
      </x:c>
      <x:c r="U16" s="150" t="n">
        <x:f>IF(T16&gt;0,I16/T16,"")</x:f>
        <x:v>153500</x:v>
      </x:c>
      <x:c r="V16" s="129" t="str">
        <x:v>Hybrid</x:v>
      </x:c>
      <x:c r="W16" s="129" t="str">
        <x:v>No</x:v>
      </x:c>
      <x:c r="X16" s="129" t="str">
        <x:v>Very High</x:v>
      </x:c>
      <x:c r="Y16" s="129" t="str">
        <x:f>IF(R16="AMG C43","No","Yes")</x:f>
        <x:v>Yes</x:v>
      </x:c>
      <x:c r="Z16" s="144" t="str">
        <x:f>IF(Y16="No","Excluded from final analysis: AMG performance model outside the predefined C300 candidate category.","")</x:f>
      </x:c>
    </x:row>
    <x:row r="17">
      <x:c r="A17" s="129" t="str">
        <x:v>CIVH_016</x:v>
      </x:c>
      <x:c r="B17" s="132" t="n">
        <x:v>46233</x:v>
      </x:c>
      <x:c r="C17" s="129" t="str">
        <x:v>Lindsay</x:v>
      </x:c>
      <x:c r="D17" s="129" t="str">
        <x:v>Honda</x:v>
      </x:c>
      <x:c r="E17" s="129" t="str">
        <x:v>Civic Hybrid</x:v>
      </x:c>
      <x:c r="F17" s="129" t="str">
        <x:v>Sport</x:v>
      </x:c>
      <x:c r="G17" s="135" t="n">
        <x:v>2025</x:v>
      </x:c>
      <x:c r="H17" s="138" t="n">
        <x:v>32490</x:v>
      </x:c>
      <x:c r="I17" s="141" t="n">
        <x:v>22052</x:v>
      </x:c>
      <x:c r="J17" s="129" t="str">
        <x:v>Sedan</x:v>
      </x:c>
      <x:c r="K17" s="129" t="str">
        <x:v>FWD</x:v>
      </x:c>
      <x:c r="L17" s="129" t="str">
        <x:v>2.0L I4 Hybrid</x:v>
      </x:c>
      <x:c r="M17" s="129" t="str">
        <x:v>Hybrid</x:v>
      </x:c>
      <x:c r="N17" s="129" t="str">
        <x:v>Automatic</x:v>
      </x:c>
      <x:c r="O17" s="129" t="str">
        <x:v>Good Deal</x:v>
      </x:c>
      <x:c r="P17" s="129" t="str">
        <x:v>11th Generation</x:v>
      </x:c>
      <x:c r="Q17" s="144" t="str">
        <x:v>$958 below market; exterior white</x:v>
      </x:c>
      <x:c r="R17" s="129" t="str">
        <x:v>Civic Hybrid</x:v>
      </x:c>
      <x:c r="S17" s="129" t="str">
        <x:v>Mainstream Compact</x:v>
      </x:c>
      <x:c r="T17" s="147" t="n">
        <x:f>2026-G17</x:f>
        <x:v>1</x:v>
      </x:c>
      <x:c r="U17" s="150" t="n">
        <x:f>IF(T17&gt;0,I17/T17,"")</x:f>
        <x:v>22052</x:v>
      </x:c>
      <x:c r="V17" s="129" t="str">
        <x:v>Hybrid</x:v>
      </x:c>
      <x:c r="W17" s="129" t="str">
        <x:v>No</x:v>
      </x:c>
      <x:c r="X17" s="129" t="str">
        <x:v>Normal</x:v>
      </x:c>
      <x:c r="Y17" s="129" t="str">
        <x:f>IF(R17="AMG C43","No","Yes")</x:f>
        <x:v>Yes</x:v>
      </x:c>
      <x:c r="Z17" s="144" t="str">
        <x:f>IF(Y17="No","Excluded from final analysis: AMG performance model outside the predefined C300 candidate category.","")</x:f>
      </x:c>
    </x:row>
    <x:row r="18">
      <x:c r="A18" s="129" t="str">
        <x:v>CIVH_017</x:v>
      </x:c>
      <x:c r="B18" s="132" t="n">
        <x:v>46233</x:v>
      </x:c>
      <x:c r="C18" s="129" t="str">
        <x:v>Whitby</x:v>
      </x:c>
      <x:c r="D18" s="129" t="str">
        <x:v>Honda</x:v>
      </x:c>
      <x:c r="E18" s="129" t="str">
        <x:v>Civic Hybrid</x:v>
      </x:c>
      <x:c r="F18" s="129" t="str">
        <x:v>Sport Touring</x:v>
      </x:c>
      <x:c r="G18" s="135" t="n">
        <x:v>2026</x:v>
      </x:c>
      <x:c r="H18" s="138" t="n">
        <x:v>37900</x:v>
      </x:c>
      <x:c r="I18" s="141" t="n">
        <x:v>1735</x:v>
      </x:c>
      <x:c r="J18" s="129" t="str">
        <x:v>Sedan</x:v>
      </x:c>
      <x:c r="K18" s="129" t="str">
        <x:v>FWD</x:v>
      </x:c>
      <x:c r="L18" s="129" t="str">
        <x:v>2.0L I4 Hybrid</x:v>
      </x:c>
      <x:c r="M18" s="129" t="str">
        <x:v>Hybrid</x:v>
      </x:c>
      <x:c r="N18" s="129" t="str">
        <x:v>CVT</x:v>
      </x:c>
      <x:c r="O18" s="129" t="str">
        <x:v>Good Deal</x:v>
      </x:c>
      <x:c r="P18" s="129" t="str">
        <x:v>11th Generation</x:v>
      </x:c>
      <x:c r="Q18" s="144" t="str">
        <x:v>$1,453 below market; exterior black</x:v>
      </x:c>
      <x:c r="R18" s="129" t="str">
        <x:v>Civic Hybrid</x:v>
      </x:c>
      <x:c r="S18" s="129" t="str">
        <x:v>Mainstream Compact</x:v>
      </x:c>
      <x:c r="T18" s="147" t="n">
        <x:f>2026-G18</x:f>
        <x:v>0</x:v>
      </x:c>
      <x:c r="U18" s="150" t="str">
        <x:f>IF(T18&gt;0,I18/T18,"")</x:f>
      </x:c>
      <x:c r="V18" s="129" t="str">
        <x:v>Hybrid</x:v>
      </x:c>
      <x:c r="W18" s="129" t="str">
        <x:v>No</x:v>
      </x:c>
      <x:c r="X18" s="129" t="str">
        <x:v>Very Low</x:v>
      </x:c>
      <x:c r="Y18" s="129" t="str">
        <x:f>IF(R18="AMG C43","No","Yes")</x:f>
        <x:v>Yes</x:v>
      </x:c>
      <x:c r="Z18" s="144" t="str">
        <x:f>IF(Y18="No","Excluded from final analysis: AMG performance model outside the predefined C300 candidate category.","")</x:f>
      </x:c>
    </x:row>
    <x:row r="19">
      <x:c r="A19" s="129" t="str">
        <x:v>CIVH_018</x:v>
      </x:c>
      <x:c r="B19" s="132" t="n">
        <x:v>46233</x:v>
      </x:c>
      <x:c r="C19" s="129" t="str">
        <x:v>Simcoe</x:v>
      </x:c>
      <x:c r="D19" s="129" t="str">
        <x:v>Honda</x:v>
      </x:c>
      <x:c r="E19" s="129" t="str">
        <x:v>Civic Hybrid</x:v>
      </x:c>
      <x:c r="F19" s="129" t="str">
        <x:v>Sport Touring</x:v>
      </x:c>
      <x:c r="G19" s="135" t="n">
        <x:v>2025</x:v>
      </x:c>
      <x:c r="H19" s="138" t="n">
        <x:v>33498</x:v>
      </x:c>
      <x:c r="I19" s="141" t="n">
        <x:v>25229</x:v>
      </x:c>
      <x:c r="J19" s="129" t="str">
        <x:v>Sedan</x:v>
      </x:c>
      <x:c r="K19" s="129" t="str">
        <x:v>FWD</x:v>
      </x:c>
      <x:c r="L19" s="129" t="str">
        <x:v>2.0L I4 Hybrid</x:v>
      </x:c>
      <x:c r="M19" s="129" t="str">
        <x:v>Hybrid</x:v>
      </x:c>
      <x:c r="N19" s="129" t="str">
        <x:v>Automatic</x:v>
      </x:c>
      <x:c r="O19" s="129" t="str">
        <x:v>Good Deal</x:v>
      </x:c>
      <x:c r="P19" s="129" t="str">
        <x:v>11th Generation</x:v>
      </x:c>
      <x:c r="Q19" s="144" t="str">
        <x:v>$1,296 below market; exterior gray</x:v>
      </x:c>
      <x:c r="R19" s="129" t="str">
        <x:v>Civic Hybrid</x:v>
      </x:c>
      <x:c r="S19" s="129" t="str">
        <x:v>Mainstream Compact</x:v>
      </x:c>
      <x:c r="T19" s="147" t="n">
        <x:f>2026-G19</x:f>
        <x:v>1</x:v>
      </x:c>
      <x:c r="U19" s="150" t="n">
        <x:f>IF(T19&gt;0,I19/T19,"")</x:f>
        <x:v>25229</x:v>
      </x:c>
      <x:c r="V19" s="129" t="str">
        <x:v>Hybrid</x:v>
      </x:c>
      <x:c r="W19" s="129" t="str">
        <x:v>No</x:v>
      </x:c>
      <x:c r="X19" s="129" t="str">
        <x:v>Normal</x:v>
      </x:c>
      <x:c r="Y19" s="129" t="str">
        <x:f>IF(R19="AMG C43","No","Yes")</x:f>
        <x:v>Yes</x:v>
      </x:c>
      <x:c r="Z19" s="144" t="str">
        <x:f>IF(Y19="No","Excluded from final analysis: AMG performance model outside the predefined C300 candidate category.","")</x:f>
      </x:c>
    </x:row>
    <x:row r="20">
      <x:c r="A20" s="129" t="str">
        <x:v>CIVH_019</x:v>
      </x:c>
      <x:c r="B20" s="132" t="n">
        <x:v>46233</x:v>
      </x:c>
      <x:c r="C20" s="129" t="str">
        <x:v>St. Catharines</x:v>
      </x:c>
      <x:c r="D20" s="129" t="str">
        <x:v>Honda</x:v>
      </x:c>
      <x:c r="E20" s="129" t="str">
        <x:v>Civic Hybrid</x:v>
      </x:c>
      <x:c r="F20" s="129" t="str">
        <x:v>Sport</x:v>
      </x:c>
      <x:c r="G20" s="135" t="n">
        <x:v>2025</x:v>
      </x:c>
      <x:c r="H20" s="138" t="n">
        <x:v>31998</x:v>
      </x:c>
      <x:c r="I20" s="141" t="n">
        <x:v>12431</x:v>
      </x:c>
      <x:c r="J20" s="129" t="str">
        <x:v>Sedan</x:v>
      </x:c>
      <x:c r="K20" s="129" t="str">
        <x:v>FWD</x:v>
      </x:c>
      <x:c r="L20" s="129" t="str">
        <x:v>2.0L I4 Hybrid</x:v>
      </x:c>
      <x:c r="M20" s="129" t="str">
        <x:v>Hybrid</x:v>
      </x:c>
      <x:c r="N20" s="129" t="str">
        <x:v>Automatic</x:v>
      </x:c>
      <x:c r="O20" s="129" t="str">
        <x:v>Good Deal</x:v>
      </x:c>
      <x:c r="P20" s="129" t="str">
        <x:v>11th Generation</x:v>
      </x:c>
      <x:c r="Q20" s="144" t="str">
        <x:v>$1,623 below market; exterior Solar Silver Metallic</x:v>
      </x:c>
      <x:c r="R20" s="129" t="str">
        <x:v>Civic Hybrid</x:v>
      </x:c>
      <x:c r="S20" s="129" t="str">
        <x:v>Mainstream Compact</x:v>
      </x:c>
      <x:c r="T20" s="147" t="n">
        <x:f>2026-G20</x:f>
        <x:v>1</x:v>
      </x:c>
      <x:c r="U20" s="150" t="n">
        <x:f>IF(T20&gt;0,I20/T20,"")</x:f>
        <x:v>12431</x:v>
      </x:c>
      <x:c r="V20" s="129" t="str">
        <x:v>Hybrid</x:v>
      </x:c>
      <x:c r="W20" s="129" t="str">
        <x:v>No</x:v>
      </x:c>
      <x:c r="X20" s="129" t="str">
        <x:v>Normal</x:v>
      </x:c>
      <x:c r="Y20" s="129" t="str">
        <x:f>IF(R20="AMG C43","No","Yes")</x:f>
        <x:v>Yes</x:v>
      </x:c>
      <x:c r="Z20" s="144" t="str">
        <x:f>IF(Y20="No","Excluded from final analysis: AMG performance model outside the predefined C300 candidate category.","")</x:f>
      </x:c>
    </x:row>
    <x:row r="21">
      <x:c r="A21" s="129" t="str">
        <x:v>CIVH_020</x:v>
      </x:c>
      <x:c r="B21" s="132" t="n">
        <x:v>46233</x:v>
      </x:c>
      <x:c r="C21" s="129" t="str">
        <x:v>Mississauga</x:v>
      </x:c>
      <x:c r="D21" s="129" t="str">
        <x:v>Honda</x:v>
      </x:c>
      <x:c r="E21" s="129" t="str">
        <x:v>Civic Hybrid</x:v>
      </x:c>
      <x:c r="F21" s="129" t="str">
        <x:v>Sport</x:v>
      </x:c>
      <x:c r="G21" s="135" t="n">
        <x:v>2026</x:v>
      </x:c>
      <x:c r="H21" s="138" t="n">
        <x:v>35888</x:v>
      </x:c>
      <x:c r="I21" s="141" t="n">
        <x:v>12202</x:v>
      </x:c>
      <x:c r="J21" s="129" t="str">
        <x:v>Sedan</x:v>
      </x:c>
      <x:c r="K21" s="129" t="str">
        <x:v>FWD</x:v>
      </x:c>
      <x:c r="L21" s="129" t="str">
        <x:v>2.0L I4 Hybrid</x:v>
      </x:c>
      <x:c r="M21" s="129" t="str">
        <x:v>Hybrid</x:v>
      </x:c>
      <x:c r="N21" s="129" t="str">
        <x:v>CVT</x:v>
      </x:c>
      <x:c r="O21" s="129" t="str">
        <x:v>Fair Deal</x:v>
      </x:c>
      <x:c r="P21" s="129" t="str">
        <x:v>11th Generation</x:v>
      </x:c>
      <x:c r="Q21" s="144" t="str">
        <x:v>$444 below market; exterior black</x:v>
      </x:c>
      <x:c r="R21" s="129" t="str">
        <x:v>Civic Hybrid</x:v>
      </x:c>
      <x:c r="S21" s="129" t="str">
        <x:v>Mainstream Compact</x:v>
      </x:c>
      <x:c r="T21" s="147" t="n">
        <x:f>2026-G21</x:f>
        <x:v>0</x:v>
      </x:c>
      <x:c r="U21" s="150" t="str">
        <x:f>IF(T21&gt;0,I21/T21,"")</x:f>
      </x:c>
      <x:c r="V21" s="129" t="str">
        <x:v>Hybrid</x:v>
      </x:c>
      <x:c r="W21" s="129" t="str">
        <x:v>No</x:v>
      </x:c>
      <x:c r="X21" s="129" t="str">
        <x:v>Normal</x:v>
      </x:c>
      <x:c r="Y21" s="129" t="str">
        <x:f>IF(R21="AMG C43","No","Yes")</x:f>
        <x:v>Yes</x:v>
      </x:c>
      <x:c r="Z21" s="144" t="str">
        <x:f>IF(Y21="No","Excluded from final analysis: AMG performance model outside the predefined C300 candidate category.","")</x:f>
      </x:c>
    </x:row>
    <x:row r="22">
      <x:c r="A22" s="129" t="str">
        <x:v>ELAN_001</x:v>
      </x:c>
      <x:c r="B22" s="132" t="n">
        <x:v>46233</x:v>
      </x:c>
      <x:c r="C22" s="129" t="str">
        <x:v>Welland</x:v>
      </x:c>
      <x:c r="D22" s="129" t="str">
        <x:v>Hyundai</x:v>
      </x:c>
      <x:c r="E22" s="129" t="str">
        <x:v>Elantra</x:v>
      </x:c>
      <x:c r="F22" s="129" t="str">
        <x:v>Ultimate</x:v>
      </x:c>
      <x:c r="G22" s="135" t="n">
        <x:v>2022</x:v>
      </x:c>
      <x:c r="H22" s="138" t="n">
        <x:v>21999</x:v>
      </x:c>
      <x:c r="I22" s="141" t="n">
        <x:v>42082</x:v>
      </x:c>
      <x:c r="J22" s="129" t="str">
        <x:v>Sedan</x:v>
      </x:c>
      <x:c r="K22" s="129" t="str">
        <x:v>FWD</x:v>
      </x:c>
      <x:c r="L22" s="129" t="str">
        <x:v>2.0L MPI I4</x:v>
      </x:c>
      <x:c r="M22" s="129" t="str">
        <x:v>Gasoline</x:v>
      </x:c>
      <x:c r="N22" s="129" t="str">
        <x:v>IVT</x:v>
      </x:c>
      <x:c r="O22" s="129" t="str">
        <x:v>Good Deal</x:v>
      </x:c>
      <x:c r="P22" s="129" t="str">
        <x:v>7th Generation</x:v>
      </x:c>
      <x:c r="Q22" s="144" t="str"/>
      <x:c r="R22" s="129" t="str">
        <x:v>Elantra</x:v>
      </x:c>
      <x:c r="S22" s="129" t="str">
        <x:v>Mainstream Compact</x:v>
      </x:c>
      <x:c r="T22" s="147" t="n">
        <x:f>2026-G22</x:f>
        <x:v>4</x:v>
      </x:c>
      <x:c r="U22" s="150" t="n">
        <x:f>IF(T22&gt;0,I22/T22,"")</x:f>
        <x:v>10520.5</x:v>
      </x:c>
      <x:c r="V22" s="129" t="str">
        <x:v>Regular Gasoline</x:v>
      </x:c>
      <x:c r="W22" s="129" t="str">
        <x:v>No</x:v>
      </x:c>
      <x:c r="X22" s="129" t="str">
        <x:v>Normal</x:v>
      </x:c>
      <x:c r="Y22" s="129" t="str">
        <x:f>IF(R22="AMG C43","No","Yes")</x:f>
        <x:v>Yes</x:v>
      </x:c>
      <x:c r="Z22" s="144" t="str">
        <x:f>IF(Y22="No","Excluded from final analysis: AMG performance model outside the predefined C300 candidate category.","")</x:f>
      </x:c>
    </x:row>
    <x:row r="23">
      <x:c r="A23" s="129" t="str">
        <x:v>ELAN_002</x:v>
      </x:c>
      <x:c r="B23" s="132" t="n">
        <x:v>46233</x:v>
      </x:c>
      <x:c r="C23" s="129" t="str">
        <x:v>Mississauga</x:v>
      </x:c>
      <x:c r="D23" s="129" t="str">
        <x:v>Hyundai</x:v>
      </x:c>
      <x:c r="E23" s="129" t="str">
        <x:v>Elantra</x:v>
      </x:c>
      <x:c r="F23" s="129" t="str">
        <x:v>Preferred</x:v>
      </x:c>
      <x:c r="G23" s="135" t="n">
        <x:v>2025</x:v>
      </x:c>
      <x:c r="H23" s="138" t="n">
        <x:v>21899</x:v>
      </x:c>
      <x:c r="I23" s="141" t="n">
        <x:v>33653</x:v>
      </x:c>
      <x:c r="J23" s="129" t="str">
        <x:v>Sedan</x:v>
      </x:c>
      <x:c r="K23" s="129" t="str">
        <x:v>FWD</x:v>
      </x:c>
      <x:c r="L23" s="129" t="str">
        <x:v>2.0L MPI I4</x:v>
      </x:c>
      <x:c r="M23" s="129" t="str">
        <x:v>Gasoline</x:v>
      </x:c>
      <x:c r="N23" s="129" t="str">
        <x:v>IVT</x:v>
      </x:c>
      <x:c r="O23" s="129" t="str">
        <x:v>Great Deal</x:v>
      </x:c>
      <x:c r="P23" s="129" t="str">
        <x:v>7th Generation</x:v>
      </x:c>
      <x:c r="Q23" s="144" t="str"/>
      <x:c r="R23" s="129" t="str">
        <x:v>Elantra</x:v>
      </x:c>
      <x:c r="S23" s="129" t="str">
        <x:v>Mainstream Compact</x:v>
      </x:c>
      <x:c r="T23" s="147" t="n">
        <x:f>2026-G23</x:f>
        <x:v>1</x:v>
      </x:c>
      <x:c r="U23" s="150" t="n">
        <x:f>IF(T23&gt;0,I23/T23,"")</x:f>
        <x:v>33653</x:v>
      </x:c>
      <x:c r="V23" s="129" t="str">
        <x:v>Regular Gasoline</x:v>
      </x:c>
      <x:c r="W23" s="129" t="str">
        <x:v>No</x:v>
      </x:c>
      <x:c r="X23" s="129" t="str">
        <x:v>Normal</x:v>
      </x:c>
      <x:c r="Y23" s="129" t="str">
        <x:f>IF(R23="AMG C43","No","Yes")</x:f>
        <x:v>Yes</x:v>
      </x:c>
      <x:c r="Z23" s="144" t="str">
        <x:f>IF(Y23="No","Excluded from final analysis: AMG performance model outside the predefined C300 candidate category.","")</x:f>
      </x:c>
    </x:row>
    <x:row r="24">
      <x:c r="A24" s="129" t="str">
        <x:v>ELAN_003</x:v>
      </x:c>
      <x:c r="B24" s="132" t="n">
        <x:v>46233</x:v>
      </x:c>
      <x:c r="C24" s="129" t="str">
        <x:v>Mississauga</x:v>
      </x:c>
      <x:c r="D24" s="129" t="str">
        <x:v>Hyundai</x:v>
      </x:c>
      <x:c r="E24" s="129" t="str">
        <x:v>Elantra</x:v>
      </x:c>
      <x:c r="F24" s="129" t="str">
        <x:v>Preferred</x:v>
      </x:c>
      <x:c r="G24" s="135" t="n">
        <x:v>2025</x:v>
      </x:c>
      <x:c r="H24" s="138" t="n">
        <x:v>21995</x:v>
      </x:c>
      <x:c r="I24" s="141" t="n">
        <x:v>29886</x:v>
      </x:c>
      <x:c r="J24" s="129" t="str">
        <x:v>Sedan</x:v>
      </x:c>
      <x:c r="K24" s="129" t="str">
        <x:v>FWD</x:v>
      </x:c>
      <x:c r="L24" s="129" t="str">
        <x:v>2.0L MPI I4</x:v>
      </x:c>
      <x:c r="M24" s="129" t="str">
        <x:v>Gasoline</x:v>
      </x:c>
      <x:c r="N24" s="129" t="str">
        <x:v>IVT</x:v>
      </x:c>
      <x:c r="O24" s="129" t="str">
        <x:v>Great Deal</x:v>
      </x:c>
      <x:c r="P24" s="129" t="str">
        <x:v>7th Generation</x:v>
      </x:c>
      <x:c r="Q24" s="144" t="str"/>
      <x:c r="R24" s="129" t="str">
        <x:v>Elantra</x:v>
      </x:c>
      <x:c r="S24" s="129" t="str">
        <x:v>Mainstream Compact</x:v>
      </x:c>
      <x:c r="T24" s="147" t="n">
        <x:f>2026-G24</x:f>
        <x:v>1</x:v>
      </x:c>
      <x:c r="U24" s="150" t="n">
        <x:f>IF(T24&gt;0,I24/T24,"")</x:f>
        <x:v>29886</x:v>
      </x:c>
      <x:c r="V24" s="129" t="str">
        <x:v>Regular Gasoline</x:v>
      </x:c>
      <x:c r="W24" s="129" t="str">
        <x:v>No</x:v>
      </x:c>
      <x:c r="X24" s="129" t="str">
        <x:v>Normal</x:v>
      </x:c>
      <x:c r="Y24" s="129" t="str">
        <x:f>IF(R24="AMG C43","No","Yes")</x:f>
        <x:v>Yes</x:v>
      </x:c>
      <x:c r="Z24" s="144" t="str">
        <x:f>IF(Y24="No","Excluded from final analysis: AMG performance model outside the predefined C300 candidate category.","")</x:f>
      </x:c>
    </x:row>
    <x:row r="25">
      <x:c r="A25" s="129" t="str">
        <x:v>ELAN_004</x:v>
      </x:c>
      <x:c r="B25" s="132" t="n">
        <x:v>46233</x:v>
      </x:c>
      <x:c r="C25" s="129" t="str">
        <x:v>Mississauga</x:v>
      </x:c>
      <x:c r="D25" s="129" t="str">
        <x:v>Hyundai</x:v>
      </x:c>
      <x:c r="E25" s="129" t="str">
        <x:v>Elantra</x:v>
      </x:c>
      <x:c r="F25" s="129" t="str">
        <x:v>Preferred</x:v>
      </x:c>
      <x:c r="G25" s="135" t="n">
        <x:v>2025</x:v>
      </x:c>
      <x:c r="H25" s="138" t="n">
        <x:v>21899</x:v>
      </x:c>
      <x:c r="I25" s="141" t="n">
        <x:v>32721</x:v>
      </x:c>
      <x:c r="J25" s="129" t="str">
        <x:v>Sedan</x:v>
      </x:c>
      <x:c r="K25" s="129" t="str">
        <x:v>FWD</x:v>
      </x:c>
      <x:c r="L25" s="129" t="str">
        <x:v>2.0L MPI I4</x:v>
      </x:c>
      <x:c r="M25" s="129" t="str">
        <x:v>Gasoline</x:v>
      </x:c>
      <x:c r="N25" s="129" t="str">
        <x:v>IVT</x:v>
      </x:c>
      <x:c r="O25" s="129" t="str">
        <x:v>Great Deal</x:v>
      </x:c>
      <x:c r="P25" s="129" t="str">
        <x:v>7th Generation</x:v>
      </x:c>
      <x:c r="Q25" s="144" t="str"/>
      <x:c r="R25" s="129" t="str">
        <x:v>Elantra</x:v>
      </x:c>
      <x:c r="S25" s="129" t="str">
        <x:v>Mainstream Compact</x:v>
      </x:c>
      <x:c r="T25" s="147" t="n">
        <x:f>2026-G25</x:f>
        <x:v>1</x:v>
      </x:c>
      <x:c r="U25" s="150" t="n">
        <x:f>IF(T25&gt;0,I25/T25,"")</x:f>
        <x:v>32721</x:v>
      </x:c>
      <x:c r="V25" s="129" t="str">
        <x:v>Regular Gasoline</x:v>
      </x:c>
      <x:c r="W25" s="129" t="str">
        <x:v>No</x:v>
      </x:c>
      <x:c r="X25" s="129" t="str">
        <x:v>Normal</x:v>
      </x:c>
      <x:c r="Y25" s="129" t="str">
        <x:f>IF(R25="AMG C43","No","Yes")</x:f>
        <x:v>Yes</x:v>
      </x:c>
      <x:c r="Z25" s="144" t="str">
        <x:f>IF(Y25="No","Excluded from final analysis: AMG performance model outside the predefined C300 candidate category.","")</x:f>
      </x:c>
    </x:row>
    <x:row r="26">
      <x:c r="A26" s="129" t="str">
        <x:v>ELAN_005</x:v>
      </x:c>
      <x:c r="B26" s="132" t="n">
        <x:v>46233</x:v>
      </x:c>
      <x:c r="C26" s="129" t="str">
        <x:v>Simcoe</x:v>
      </x:c>
      <x:c r="D26" s="129" t="str">
        <x:v>Hyundai</x:v>
      </x:c>
      <x:c r="E26" s="129" t="str">
        <x:v>Elantra</x:v>
      </x:c>
      <x:c r="F26" s="129" t="str">
        <x:v>Ultimate</x:v>
      </x:c>
      <x:c r="G26" s="135" t="n">
        <x:v>2022</x:v>
      </x:c>
      <x:c r="H26" s="138" t="n">
        <x:v>17998</x:v>
      </x:c>
      <x:c r="I26" s="141" t="n">
        <x:v>119462</x:v>
      </x:c>
      <x:c r="J26" s="129" t="str">
        <x:v>Sedan</x:v>
      </x:c>
      <x:c r="K26" s="129" t="str">
        <x:v>FWD</x:v>
      </x:c>
      <x:c r="L26" s="129" t="str">
        <x:v>2.0L MPI I4</x:v>
      </x:c>
      <x:c r="M26" s="129" t="str">
        <x:v>Gasoline</x:v>
      </x:c>
      <x:c r="N26" s="129" t="str">
        <x:v>IVT</x:v>
      </x:c>
      <x:c r="O26" s="129" t="str">
        <x:v>Great Deal</x:v>
      </x:c>
      <x:c r="P26" s="129" t="str">
        <x:v>7th Generation</x:v>
      </x:c>
      <x:c r="Q26" s="144" t="str">
        <x:v>Certified Pre-Owned</x:v>
      </x:c>
      <x:c r="R26" s="129" t="str">
        <x:v>Elantra</x:v>
      </x:c>
      <x:c r="S26" s="129" t="str">
        <x:v>Mainstream Compact</x:v>
      </x:c>
      <x:c r="T26" s="147" t="n">
        <x:f>2026-G26</x:f>
        <x:v>4</x:v>
      </x:c>
      <x:c r="U26" s="150" t="n">
        <x:f>IF(T26&gt;0,I26/T26,"")</x:f>
        <x:v>29865.5</x:v>
      </x:c>
      <x:c r="V26" s="129" t="str">
        <x:v>Regular Gasoline</x:v>
      </x:c>
      <x:c r="W26" s="129" t="str">
        <x:v>No</x:v>
      </x:c>
      <x:c r="X26" s="129" t="str">
        <x:v>Normal</x:v>
      </x:c>
      <x:c r="Y26" s="129" t="str">
        <x:f>IF(R26="AMG C43","No","Yes")</x:f>
        <x:v>Yes</x:v>
      </x:c>
      <x:c r="Z26" s="144" t="str">
        <x:f>IF(Y26="No","Excluded from final analysis: AMG performance model outside the predefined C300 candidate category.","")</x:f>
      </x:c>
    </x:row>
    <x:row r="27">
      <x:c r="A27" s="129" t="str">
        <x:v>ELAN_006</x:v>
      </x:c>
      <x:c r="B27" s="132" t="n">
        <x:v>46233</x:v>
      </x:c>
      <x:c r="C27" s="129" t="str">
        <x:v>Etobicoke</x:v>
      </x:c>
      <x:c r="D27" s="129" t="str">
        <x:v>Hyundai</x:v>
      </x:c>
      <x:c r="E27" s="129" t="str">
        <x:v>Elantra</x:v>
      </x:c>
      <x:c r="F27" s="129" t="str">
        <x:v>Ultimate</x:v>
      </x:c>
      <x:c r="G27" s="135" t="n">
        <x:v>2022</x:v>
      </x:c>
      <x:c r="H27" s="138" t="n">
        <x:v>16488</x:v>
      </x:c>
      <x:c r="I27" s="141" t="n">
        <x:v>139101</x:v>
      </x:c>
      <x:c r="J27" s="129" t="str">
        <x:v>Sedan</x:v>
      </x:c>
      <x:c r="K27" s="129" t="str">
        <x:v>FWD</x:v>
      </x:c>
      <x:c r="L27" s="129" t="str">
        <x:v>2.0L MPI I4</x:v>
      </x:c>
      <x:c r="M27" s="129" t="str">
        <x:v>Gasoline</x:v>
      </x:c>
      <x:c r="N27" s="129" t="str">
        <x:v>IVT</x:v>
      </x:c>
      <x:c r="O27" s="129" t="str">
        <x:v>Great Deal</x:v>
      </x:c>
      <x:c r="P27" s="129" t="str">
        <x:v>7th Generation</x:v>
      </x:c>
      <x:c r="Q27" s="144" t="str"/>
      <x:c r="R27" s="129" t="str">
        <x:v>Elantra</x:v>
      </x:c>
      <x:c r="S27" s="129" t="str">
        <x:v>Mainstream Compact</x:v>
      </x:c>
      <x:c r="T27" s="147" t="n">
        <x:f>2026-G27</x:f>
        <x:v>4</x:v>
      </x:c>
      <x:c r="U27" s="150" t="n">
        <x:f>IF(T27&gt;0,I27/T27,"")</x:f>
        <x:v>34775.25</x:v>
      </x:c>
      <x:c r="V27" s="129" t="str">
        <x:v>Regular Gasoline</x:v>
      </x:c>
      <x:c r="W27" s="129" t="str">
        <x:v>No</x:v>
      </x:c>
      <x:c r="X27" s="129" t="str">
        <x:v>Very High</x:v>
      </x:c>
      <x:c r="Y27" s="129" t="str">
        <x:f>IF(R27="AMG C43","No","Yes")</x:f>
        <x:v>Yes</x:v>
      </x:c>
      <x:c r="Z27" s="144" t="str">
        <x:f>IF(Y27="No","Excluded from final analysis: AMG performance model outside the predefined C300 candidate category.","")</x:f>
      </x:c>
    </x:row>
    <x:row r="28">
      <x:c r="A28" s="129" t="str">
        <x:v>ELAN_007</x:v>
      </x:c>
      <x:c r="B28" s="132" t="n">
        <x:v>46233</x:v>
      </x:c>
      <x:c r="C28" s="129" t="str">
        <x:v>Thornhill</x:v>
      </x:c>
      <x:c r="D28" s="129" t="str">
        <x:v>Hyundai</x:v>
      </x:c>
      <x:c r="E28" s="129" t="str">
        <x:v>Elantra</x:v>
      </x:c>
      <x:c r="F28" s="129" t="str">
        <x:v>Essential</x:v>
      </x:c>
      <x:c r="G28" s="135" t="n">
        <x:v>2023</x:v>
      </x:c>
      <x:c r="H28" s="138" t="n">
        <x:v>15650</x:v>
      </x:c>
      <x:c r="I28" s="141" t="n">
        <x:v>112567</x:v>
      </x:c>
      <x:c r="J28" s="129" t="str">
        <x:v>Sedan</x:v>
      </x:c>
      <x:c r="K28" s="129" t="str">
        <x:v>FWD</x:v>
      </x:c>
      <x:c r="L28" s="129" t="str">
        <x:v>2.0L MPI I4</x:v>
      </x:c>
      <x:c r="M28" s="129" t="str">
        <x:v>Gasoline</x:v>
      </x:c>
      <x:c r="N28" s="129" t="str">
        <x:v>IVT</x:v>
      </x:c>
      <x:c r="O28" s="129" t="str">
        <x:v>Great Deal</x:v>
      </x:c>
      <x:c r="P28" s="129" t="str">
        <x:v>7th Generation</x:v>
      </x:c>
      <x:c r="Q28" s="144" t="str"/>
      <x:c r="R28" s="129" t="str">
        <x:v>Elantra</x:v>
      </x:c>
      <x:c r="S28" s="129" t="str">
        <x:v>Mainstream Compact</x:v>
      </x:c>
      <x:c r="T28" s="147" t="n">
        <x:f>2026-G28</x:f>
        <x:v>3</x:v>
      </x:c>
      <x:c r="U28" s="150" t="n">
        <x:f>IF(T28&gt;0,I28/T28,"")</x:f>
        <x:v>37522.333333333336</x:v>
      </x:c>
      <x:c r="V28" s="129" t="str">
        <x:v>Regular Gasoline</x:v>
      </x:c>
      <x:c r="W28" s="129" t="str">
        <x:v>No</x:v>
      </x:c>
      <x:c r="X28" s="129" t="str">
        <x:v>Normal</x:v>
      </x:c>
      <x:c r="Y28" s="129" t="str">
        <x:f>IF(R28="AMG C43","No","Yes")</x:f>
        <x:v>Yes</x:v>
      </x:c>
      <x:c r="Z28" s="144" t="str">
        <x:f>IF(Y28="No","Excluded from final analysis: AMG performance model outside the predefined C300 candidate category.","")</x:f>
      </x:c>
    </x:row>
    <x:row r="29">
      <x:c r="A29" s="129" t="str">
        <x:v>ELAN_008</x:v>
      </x:c>
      <x:c r="B29" s="132" t="n">
        <x:v>46233</x:v>
      </x:c>
      <x:c r="C29" s="129" t="str">
        <x:v>Toronto</x:v>
      </x:c>
      <x:c r="D29" s="129" t="str">
        <x:v>Hyundai</x:v>
      </x:c>
      <x:c r="E29" s="129" t="str">
        <x:v>Elantra</x:v>
      </x:c>
      <x:c r="F29" s="129" t="str">
        <x:v>Preferred</x:v>
      </x:c>
      <x:c r="G29" s="135" t="n">
        <x:v>2023</x:v>
      </x:c>
      <x:c r="H29" s="138" t="n">
        <x:v>11888</x:v>
      </x:c>
      <x:c r="I29" s="141" t="n">
        <x:v>203621</x:v>
      </x:c>
      <x:c r="J29" s="129" t="str">
        <x:v>Sedan</x:v>
      </x:c>
      <x:c r="K29" s="129" t="str">
        <x:v>FWD</x:v>
      </x:c>
      <x:c r="L29" s="129" t="str">
        <x:v>2.0L MPI I4</x:v>
      </x:c>
      <x:c r="M29" s="129" t="str">
        <x:v>Gasoline</x:v>
      </x:c>
      <x:c r="N29" s="129" t="str">
        <x:v>IVT</x:v>
      </x:c>
      <x:c r="O29" s="129" t="str">
        <x:v>Great Deal</x:v>
      </x:c>
      <x:c r="P29" s="129" t="str">
        <x:v>7th Generation</x:v>
      </x:c>
      <x:c r="Q29" s="144" t="str">
        <x:v>Unusually high mileage</x:v>
      </x:c>
      <x:c r="R29" s="129" t="str">
        <x:v>Elantra</x:v>
      </x:c>
      <x:c r="S29" s="129" t="str">
        <x:v>Mainstream Compact</x:v>
      </x:c>
      <x:c r="T29" s="147" t="n">
        <x:f>2026-G29</x:f>
        <x:v>3</x:v>
      </x:c>
      <x:c r="U29" s="150" t="n">
        <x:f>IF(T29&gt;0,I29/T29,"")</x:f>
        <x:v>67873.66666666667</x:v>
      </x:c>
      <x:c r="V29" s="129" t="str">
        <x:v>Regular Gasoline</x:v>
      </x:c>
      <x:c r="W29" s="129" t="str">
        <x:v>No</x:v>
      </x:c>
      <x:c r="X29" s="129" t="str">
        <x:v>Very High</x:v>
      </x:c>
      <x:c r="Y29" s="129" t="str">
        <x:f>IF(R29="AMG C43","No","Yes")</x:f>
        <x:v>Yes</x:v>
      </x:c>
      <x:c r="Z29" s="144" t="str">
        <x:f>IF(Y29="No","Excluded from final analysis: AMG performance model outside the predefined C300 candidate category.","")</x:f>
      </x:c>
    </x:row>
    <x:row r="30">
      <x:c r="A30" s="129" t="str">
        <x:v>ELAN_009</x:v>
      </x:c>
      <x:c r="B30" s="132" t="n">
        <x:v>46233</x:v>
      </x:c>
      <x:c r="C30" s="129" t="str">
        <x:v>Ajax</x:v>
      </x:c>
      <x:c r="D30" s="129" t="str">
        <x:v>Hyundai</x:v>
      </x:c>
      <x:c r="E30" s="129" t="str">
        <x:v>Elantra</x:v>
      </x:c>
      <x:c r="F30" s="129" t="str">
        <x:v>N Line Ultimate</x:v>
      </x:c>
      <x:c r="G30" s="135" t="n">
        <x:v>2025</x:v>
      </x:c>
      <x:c r="H30" s="138" t="n">
        <x:v>24999</x:v>
      </x:c>
      <x:c r="I30" s="141" t="n">
        <x:v>21259</x:v>
      </x:c>
      <x:c r="J30" s="129" t="str">
        <x:v>Sedan</x:v>
      </x:c>
      <x:c r="K30" s="129" t="str">
        <x:v>FWD</x:v>
      </x:c>
      <x:c r="L30" s="129" t="str">
        <x:v>1.6L Turbo GDI I4</x:v>
      </x:c>
      <x:c r="M30" s="129" t="str">
        <x:v>Gasoline</x:v>
      </x:c>
      <x:c r="N30" s="129" t="str">
        <x:v>7-speed DCT</x:v>
      </x:c>
      <x:c r="O30" s="129" t="str">
        <x:v>Great Deal</x:v>
      </x:c>
      <x:c r="P30" s="129" t="str">
        <x:v>7th Generation</x:v>
      </x:c>
      <x:c r="Q30" s="144" t="str"/>
      <x:c r="R30" s="129" t="str">
        <x:v>Elantra N Line</x:v>
      </x:c>
      <x:c r="S30" s="129" t="str">
        <x:v>Mainstream Compact</x:v>
      </x:c>
      <x:c r="T30" s="147" t="n">
        <x:f>2026-G30</x:f>
        <x:v>1</x:v>
      </x:c>
      <x:c r="U30" s="150" t="n">
        <x:f>IF(T30&gt;0,I30/T30,"")</x:f>
        <x:v>21259</x:v>
      </x:c>
      <x:c r="V30" s="129" t="str">
        <x:v>Performance Gasoline</x:v>
      </x:c>
      <x:c r="W30" s="129" t="str">
        <x:v>Yes</x:v>
      </x:c>
      <x:c r="X30" s="129" t="str">
        <x:v>Normal</x:v>
      </x:c>
      <x:c r="Y30" s="129" t="str">
        <x:f>IF(R30="AMG C43","No","Yes")</x:f>
        <x:v>Yes</x:v>
      </x:c>
      <x:c r="Z30" s="144" t="str">
        <x:f>IF(Y30="No","Excluded from final analysis: AMG performance model outside the predefined C300 candidate category.","")</x:f>
      </x:c>
    </x:row>
    <x:row r="31">
      <x:c r="A31" s="129" t="str">
        <x:v>ELAN_010</x:v>
      </x:c>
      <x:c r="B31" s="132" t="n">
        <x:v>46233</x:v>
      </x:c>
      <x:c r="C31" s="129" t="str">
        <x:v>Mississauga</x:v>
      </x:c>
      <x:c r="D31" s="129" t="str">
        <x:v>Hyundai</x:v>
      </x:c>
      <x:c r="E31" s="129" t="str">
        <x:v>Elantra</x:v>
      </x:c>
      <x:c r="F31" s="129" t="str">
        <x:v>Essential</x:v>
      </x:c>
      <x:c r="G31" s="135" t="n">
        <x:v>2024</x:v>
      </x:c>
      <x:c r="H31" s="138" t="n">
        <x:v>19821</x:v>
      </x:c>
      <x:c r="I31" s="141" t="n">
        <x:v>27959</x:v>
      </x:c>
      <x:c r="J31" s="129" t="str">
        <x:v>Sedan</x:v>
      </x:c>
      <x:c r="K31" s="129" t="str">
        <x:v>FWD</x:v>
      </x:c>
      <x:c r="L31" s="129" t="str">
        <x:v>2.0L MPI I4</x:v>
      </x:c>
      <x:c r="M31" s="129" t="str">
        <x:v>Gasoline</x:v>
      </x:c>
      <x:c r="N31" s="129" t="str">
        <x:v>IVT</x:v>
      </x:c>
      <x:c r="O31" s="129" t="str">
        <x:v>Great Deal</x:v>
      </x:c>
      <x:c r="P31" s="129" t="str">
        <x:v>7th Generation</x:v>
      </x:c>
      <x:c r="Q31" s="144" t="str">
        <x:v>Price reduced by $1,000</x:v>
      </x:c>
      <x:c r="R31" s="129" t="str">
        <x:v>Elantra</x:v>
      </x:c>
      <x:c r="S31" s="129" t="str">
        <x:v>Mainstream Compact</x:v>
      </x:c>
      <x:c r="T31" s="147" t="n">
        <x:f>2026-G31</x:f>
        <x:v>2</x:v>
      </x:c>
      <x:c r="U31" s="150" t="n">
        <x:f>IF(T31&gt;0,I31/T31,"")</x:f>
        <x:v>13979.5</x:v>
      </x:c>
      <x:c r="V31" s="129" t="str">
        <x:v>Regular Gasoline</x:v>
      </x:c>
      <x:c r="W31" s="129" t="str">
        <x:v>No</x:v>
      </x:c>
      <x:c r="X31" s="129" t="str">
        <x:v>Normal</x:v>
      </x:c>
      <x:c r="Y31" s="129" t="str">
        <x:f>IF(R31="AMG C43","No","Yes")</x:f>
        <x:v>Yes</x:v>
      </x:c>
      <x:c r="Z31" s="144" t="str">
        <x:f>IF(Y31="No","Excluded from final analysis: AMG performance model outside the predefined C300 candidate category.","")</x:f>
      </x:c>
    </x:row>
    <x:row r="32">
      <x:c r="A32" s="129" t="str">
        <x:v>ELAN_011</x:v>
      </x:c>
      <x:c r="B32" s="132" t="n">
        <x:v>46233</x:v>
      </x:c>
      <x:c r="C32" s="129" t="str">
        <x:v>Bowmanville</x:v>
      </x:c>
      <x:c r="D32" s="129" t="str">
        <x:v>Hyundai</x:v>
      </x:c>
      <x:c r="E32" s="129" t="str">
        <x:v>Elantra</x:v>
      </x:c>
      <x:c r="F32" s="129" t="str">
        <x:v>Preferred</x:v>
      </x:c>
      <x:c r="G32" s="135" t="n">
        <x:v>2025</x:v>
      </x:c>
      <x:c r="H32" s="138" t="n">
        <x:v>23298</x:v>
      </x:c>
      <x:c r="I32" s="141" t="n">
        <x:v>18609</x:v>
      </x:c>
      <x:c r="J32" s="129" t="str">
        <x:v>Sedan</x:v>
      </x:c>
      <x:c r="K32" s="129" t="str">
        <x:v>FWD</x:v>
      </x:c>
      <x:c r="L32" s="129" t="str">
        <x:v>2.0L MPI I4</x:v>
      </x:c>
      <x:c r="M32" s="129" t="str">
        <x:v>Gasoline</x:v>
      </x:c>
      <x:c r="N32" s="129" t="str">
        <x:v>IVT</x:v>
      </x:c>
      <x:c r="O32" s="129" t="str">
        <x:v>Good Deal</x:v>
      </x:c>
      <x:c r="P32" s="129" t="str">
        <x:v>7th Generation</x:v>
      </x:c>
      <x:c r="Q32" s="144" t="str"/>
      <x:c r="R32" s="129" t="str">
        <x:v>Elantra</x:v>
      </x:c>
      <x:c r="S32" s="129" t="str">
        <x:v>Mainstream Compact</x:v>
      </x:c>
      <x:c r="T32" s="147" t="n">
        <x:f>2026-G32</x:f>
        <x:v>1</x:v>
      </x:c>
      <x:c r="U32" s="150" t="n">
        <x:f>IF(T32&gt;0,I32/T32,"")</x:f>
        <x:v>18609</x:v>
      </x:c>
      <x:c r="V32" s="129" t="str">
        <x:v>Regular Gasoline</x:v>
      </x:c>
      <x:c r="W32" s="129" t="str">
        <x:v>No</x:v>
      </x:c>
      <x:c r="X32" s="129" t="str">
        <x:v>Normal</x:v>
      </x:c>
      <x:c r="Y32" s="129" t="str">
        <x:f>IF(R32="AMG C43","No","Yes")</x:f>
        <x:v>Yes</x:v>
      </x:c>
      <x:c r="Z32" s="144" t="str">
        <x:f>IF(Y32="No","Excluded from final analysis: AMG performance model outside the predefined C300 candidate category.","")</x:f>
      </x:c>
    </x:row>
    <x:row r="33">
      <x:c r="A33" s="129" t="str">
        <x:v>ELAN_012</x:v>
      </x:c>
      <x:c r="B33" s="132" t="n">
        <x:v>46233</x:v>
      </x:c>
      <x:c r="C33" s="129" t="str">
        <x:v>Toronto</x:v>
      </x:c>
      <x:c r="D33" s="129" t="str">
        <x:v>Hyundai</x:v>
      </x:c>
      <x:c r="E33" s="129" t="str">
        <x:v>Elantra</x:v>
      </x:c>
      <x:c r="F33" s="129" t="str">
        <x:v>Essential</x:v>
      </x:c>
      <x:c r="G33" s="135" t="n">
        <x:v>2022</x:v>
      </x:c>
      <x:c r="H33" s="138" t="n">
        <x:v>14588</x:v>
      </x:c>
      <x:c r="I33" s="141" t="n">
        <x:v>122037</x:v>
      </x:c>
      <x:c r="J33" s="129" t="str">
        <x:v>Sedan</x:v>
      </x:c>
      <x:c r="K33" s="129" t="str">
        <x:v>FWD</x:v>
      </x:c>
      <x:c r="L33" s="129" t="str">
        <x:v>2.0L MPI I4</x:v>
      </x:c>
      <x:c r="M33" s="129" t="str">
        <x:v>Gasoline</x:v>
      </x:c>
      <x:c r="N33" s="129" t="str">
        <x:v>IVT</x:v>
      </x:c>
      <x:c r="O33" s="129" t="str">
        <x:v>Great Deal</x:v>
      </x:c>
      <x:c r="P33" s="129" t="str">
        <x:v>7th Generation</x:v>
      </x:c>
      <x:c r="Q33" s="144" t="str"/>
      <x:c r="R33" s="129" t="str">
        <x:v>Elantra</x:v>
      </x:c>
      <x:c r="S33" s="129" t="str">
        <x:v>Mainstream Compact</x:v>
      </x:c>
      <x:c r="T33" s="147" t="n">
        <x:f>2026-G33</x:f>
        <x:v>4</x:v>
      </x:c>
      <x:c r="U33" s="150" t="n">
        <x:f>IF(T33&gt;0,I33/T33,"")</x:f>
        <x:v>30509.25</x:v>
      </x:c>
      <x:c r="V33" s="129" t="str">
        <x:v>Regular Gasoline</x:v>
      </x:c>
      <x:c r="W33" s="129" t="str">
        <x:v>No</x:v>
      </x:c>
      <x:c r="X33" s="129" t="str">
        <x:v>Normal</x:v>
      </x:c>
      <x:c r="Y33" s="129" t="str">
        <x:f>IF(R33="AMG C43","No","Yes")</x:f>
        <x:v>Yes</x:v>
      </x:c>
      <x:c r="Z33" s="144" t="str">
        <x:f>IF(Y33="No","Excluded from final analysis: AMG performance model outside the predefined C300 candidate category.","")</x:f>
      </x:c>
    </x:row>
    <x:row r="34">
      <x:c r="A34" s="129" t="str">
        <x:v>ELAN_013</x:v>
      </x:c>
      <x:c r="B34" s="132" t="n">
        <x:v>46233</x:v>
      </x:c>
      <x:c r="C34" s="129" t="str">
        <x:v>Concord</x:v>
      </x:c>
      <x:c r="D34" s="129" t="str">
        <x:v>Hyundai</x:v>
      </x:c>
      <x:c r="E34" s="129" t="str">
        <x:v>Elantra</x:v>
      </x:c>
      <x:c r="F34" s="129" t="str">
        <x:v>Preferred</x:v>
      </x:c>
      <x:c r="G34" s="135" t="n">
        <x:v>2023</x:v>
      </x:c>
      <x:c r="H34" s="138" t="n">
        <x:v>16990</x:v>
      </x:c>
      <x:c r="I34" s="141" t="n">
        <x:v>104171</x:v>
      </x:c>
      <x:c r="J34" s="129" t="str">
        <x:v>Sedan</x:v>
      </x:c>
      <x:c r="K34" s="129" t="str">
        <x:v>FWD</x:v>
      </x:c>
      <x:c r="L34" s="129" t="str">
        <x:v>2.0L MPI I4</x:v>
      </x:c>
      <x:c r="M34" s="129" t="str">
        <x:v>Gasoline</x:v>
      </x:c>
      <x:c r="N34" s="129" t="str">
        <x:v>IVT</x:v>
      </x:c>
      <x:c r="O34" s="129" t="str">
        <x:v>Great Deal</x:v>
      </x:c>
      <x:c r="P34" s="129" t="str">
        <x:v>7th Generation</x:v>
      </x:c>
      <x:c r="Q34" s="144" t="str">
        <x:v>Price reduced by $1,500</x:v>
      </x:c>
      <x:c r="R34" s="129" t="str">
        <x:v>Elantra</x:v>
      </x:c>
      <x:c r="S34" s="129" t="str">
        <x:v>Mainstream Compact</x:v>
      </x:c>
      <x:c r="T34" s="147" t="n">
        <x:f>2026-G34</x:f>
        <x:v>3</x:v>
      </x:c>
      <x:c r="U34" s="150" t="n">
        <x:f>IF(T34&gt;0,I34/T34,"")</x:f>
        <x:v>34723.666666666664</x:v>
      </x:c>
      <x:c r="V34" s="129" t="str">
        <x:v>Regular Gasoline</x:v>
      </x:c>
      <x:c r="W34" s="129" t="str">
        <x:v>No</x:v>
      </x:c>
      <x:c r="X34" s="129" t="str">
        <x:v>Normal</x:v>
      </x:c>
      <x:c r="Y34" s="129" t="str">
        <x:f>IF(R34="AMG C43","No","Yes")</x:f>
        <x:v>Yes</x:v>
      </x:c>
      <x:c r="Z34" s="144" t="str">
        <x:f>IF(Y34="No","Excluded from final analysis: AMG performance model outside the predefined C300 candidate category.","")</x:f>
      </x:c>
    </x:row>
    <x:row r="35">
      <x:c r="A35" s="129" t="str">
        <x:v>ELAN_014</x:v>
      </x:c>
      <x:c r="B35" s="132" t="n">
        <x:v>46233</x:v>
      </x:c>
      <x:c r="C35" s="129" t="str">
        <x:v>Oakville</x:v>
      </x:c>
      <x:c r="D35" s="129" t="str">
        <x:v>Hyundai</x:v>
      </x:c>
      <x:c r="E35" s="129" t="str">
        <x:v>Elantra</x:v>
      </x:c>
      <x:c r="F35" s="129" t="str">
        <x:v>Preferred</x:v>
      </x:c>
      <x:c r="G35" s="135" t="n">
        <x:v>2025</x:v>
      </x:c>
      <x:c r="H35" s="138" t="n">
        <x:v>21699</x:v>
      </x:c>
      <x:c r="I35" s="141" t="n">
        <x:v>35592</x:v>
      </x:c>
      <x:c r="J35" s="129" t="str">
        <x:v>Sedan</x:v>
      </x:c>
      <x:c r="K35" s="129" t="str">
        <x:v>FWD</x:v>
      </x:c>
      <x:c r="L35" s="129" t="str">
        <x:v>2.0L MPI I4</x:v>
      </x:c>
      <x:c r="M35" s="129" t="str">
        <x:v>Gasoline</x:v>
      </x:c>
      <x:c r="N35" s="129" t="str">
        <x:v>IVT</x:v>
      </x:c>
      <x:c r="O35" s="129" t="str">
        <x:v>Great Deal</x:v>
      </x:c>
      <x:c r="P35" s="129" t="str">
        <x:v>7th Generation</x:v>
      </x:c>
      <x:c r="Q35" s="144" t="str">
        <x:v>Price reduced by $800</x:v>
      </x:c>
      <x:c r="R35" s="129" t="str">
        <x:v>Elantra</x:v>
      </x:c>
      <x:c r="S35" s="129" t="str">
        <x:v>Mainstream Compact</x:v>
      </x:c>
      <x:c r="T35" s="147" t="n">
        <x:f>2026-G35</x:f>
        <x:v>1</x:v>
      </x:c>
      <x:c r="U35" s="150" t="n">
        <x:f>IF(T35&gt;0,I35/T35,"")</x:f>
        <x:v>35592</x:v>
      </x:c>
      <x:c r="V35" s="129" t="str">
        <x:v>Regular Gasoline</x:v>
      </x:c>
      <x:c r="W35" s="129" t="str">
        <x:v>No</x:v>
      </x:c>
      <x:c r="X35" s="129" t="str">
        <x:v>Normal</x:v>
      </x:c>
      <x:c r="Y35" s="129" t="str">
        <x:f>IF(R35="AMG C43","No","Yes")</x:f>
        <x:v>Yes</x:v>
      </x:c>
      <x:c r="Z35" s="144" t="str">
        <x:f>IF(Y35="No","Excluded from final analysis: AMG performance model outside the predefined C300 candidate category.","")</x:f>
      </x:c>
    </x:row>
    <x:row r="36">
      <x:c r="A36" s="129" t="str">
        <x:v>ELAN_015</x:v>
      </x:c>
      <x:c r="B36" s="132" t="n">
        <x:v>46233</x:v>
      </x:c>
      <x:c r="C36" s="129" t="str">
        <x:v>Oakville</x:v>
      </x:c>
      <x:c r="D36" s="129" t="str">
        <x:v>Hyundai</x:v>
      </x:c>
      <x:c r="E36" s="129" t="str">
        <x:v>Elantra</x:v>
      </x:c>
      <x:c r="F36" s="129" t="str">
        <x:v>Preferred</x:v>
      </x:c>
      <x:c r="G36" s="135" t="n">
        <x:v>2025</x:v>
      </x:c>
      <x:c r="H36" s="138" t="n">
        <x:v>21999</x:v>
      </x:c>
      <x:c r="I36" s="141" t="n">
        <x:v>16600</x:v>
      </x:c>
      <x:c r="J36" s="129" t="str">
        <x:v>Sedan</x:v>
      </x:c>
      <x:c r="K36" s="129" t="str">
        <x:v>FWD</x:v>
      </x:c>
      <x:c r="L36" s="129" t="str">
        <x:v>2.0L MPI I4</x:v>
      </x:c>
      <x:c r="M36" s="129" t="str">
        <x:v>Gasoline</x:v>
      </x:c>
      <x:c r="N36" s="129" t="str">
        <x:v>IVT</x:v>
      </x:c>
      <x:c r="O36" s="129" t="str">
        <x:v>Great Deal</x:v>
      </x:c>
      <x:c r="P36" s="129" t="str">
        <x:v>7th Generation</x:v>
      </x:c>
      <x:c r="Q36" s="144" t="str"/>
      <x:c r="R36" s="129" t="str">
        <x:v>Elantra</x:v>
      </x:c>
      <x:c r="S36" s="129" t="str">
        <x:v>Mainstream Compact</x:v>
      </x:c>
      <x:c r="T36" s="147" t="n">
        <x:f>2026-G36</x:f>
        <x:v>1</x:v>
      </x:c>
      <x:c r="U36" s="150" t="n">
        <x:f>IF(T36&gt;0,I36/T36,"")</x:f>
        <x:v>16600</x:v>
      </x:c>
      <x:c r="V36" s="129" t="str">
        <x:v>Regular Gasoline</x:v>
      </x:c>
      <x:c r="W36" s="129" t="str">
        <x:v>No</x:v>
      </x:c>
      <x:c r="X36" s="129" t="str">
        <x:v>Normal</x:v>
      </x:c>
      <x:c r="Y36" s="129" t="str">
        <x:f>IF(R36="AMG C43","No","Yes")</x:f>
        <x:v>Yes</x:v>
      </x:c>
      <x:c r="Z36" s="144" t="str">
        <x:f>IF(Y36="No","Excluded from final analysis: AMG performance model outside the predefined C300 candidate category.","")</x:f>
      </x:c>
    </x:row>
    <x:row r="37">
      <x:c r="A37" s="129" t="str">
        <x:v>ELAN_016</x:v>
      </x:c>
      <x:c r="B37" s="132" t="n">
        <x:v>46233</x:v>
      </x:c>
      <x:c r="C37" s="129" t="str">
        <x:v>Vaughan</x:v>
      </x:c>
      <x:c r="D37" s="129" t="str">
        <x:v>Hyundai</x:v>
      </x:c>
      <x:c r="E37" s="129" t="str">
        <x:v>Elantra</x:v>
      </x:c>
      <x:c r="F37" s="129" t="str">
        <x:v>N Line Ultimate</x:v>
      </x:c>
      <x:c r="G37" s="135" t="n">
        <x:v>2024</x:v>
      </x:c>
      <x:c r="H37" s="138" t="n">
        <x:v>23988</x:v>
      </x:c>
      <x:c r="I37" s="141" t="n">
        <x:v>51679</x:v>
      </x:c>
      <x:c r="J37" s="129" t="str">
        <x:v>Sedan</x:v>
      </x:c>
      <x:c r="K37" s="129" t="str">
        <x:v>FWD</x:v>
      </x:c>
      <x:c r="L37" s="129" t="str">
        <x:v>1.6L Turbo GDI I4</x:v>
      </x:c>
      <x:c r="M37" s="129" t="str">
        <x:v>Gasoline</x:v>
      </x:c>
      <x:c r="N37" s="129" t="str">
        <x:v>7-speed DCT</x:v>
      </x:c>
      <x:c r="O37" s="129" t="str">
        <x:v>Great Deal</x:v>
      </x:c>
      <x:c r="P37" s="129" t="str">
        <x:v>7th Generation</x:v>
      </x:c>
      <x:c r="Q37" s="144" t="str">
        <x:v>Price reduced by $900</x:v>
      </x:c>
      <x:c r="R37" s="129" t="str">
        <x:v>Elantra N Line</x:v>
      </x:c>
      <x:c r="S37" s="129" t="str">
        <x:v>Mainstream Compact</x:v>
      </x:c>
      <x:c r="T37" s="147" t="n">
        <x:f>2026-G37</x:f>
        <x:v>2</x:v>
      </x:c>
      <x:c r="U37" s="150" t="n">
        <x:f>IF(T37&gt;0,I37/T37,"")</x:f>
        <x:v>25839.5</x:v>
      </x:c>
      <x:c r="V37" s="129" t="str">
        <x:v>Performance Gasoline</x:v>
      </x:c>
      <x:c r="W37" s="129" t="str">
        <x:v>Yes</x:v>
      </x:c>
      <x:c r="X37" s="129" t="str">
        <x:v>Normal</x:v>
      </x:c>
      <x:c r="Y37" s="129" t="str">
        <x:f>IF(R37="AMG C43","No","Yes")</x:f>
        <x:v>Yes</x:v>
      </x:c>
      <x:c r="Z37" s="144" t="str">
        <x:f>IF(Y37="No","Excluded from final analysis: AMG performance model outside the predefined C300 candidate category.","")</x:f>
      </x:c>
    </x:row>
    <x:row r="38">
      <x:c r="A38" s="129" t="str">
        <x:v>ELAN_017</x:v>
      </x:c>
      <x:c r="B38" s="132" t="n">
        <x:v>46233</x:v>
      </x:c>
      <x:c r="C38" s="129" t="str">
        <x:v>Brampton</x:v>
      </x:c>
      <x:c r="D38" s="129" t="str">
        <x:v>Hyundai</x:v>
      </x:c>
      <x:c r="E38" s="129" t="str">
        <x:v>Elantra</x:v>
      </x:c>
      <x:c r="F38" s="129" t="str">
        <x:v>Preferred</x:v>
      </x:c>
      <x:c r="G38" s="135" t="n">
        <x:v>2023</x:v>
      </x:c>
      <x:c r="H38" s="138" t="n">
        <x:v>14990</x:v>
      </x:c>
      <x:c r="I38" s="141" t="n">
        <x:v>130269</x:v>
      </x:c>
      <x:c r="J38" s="129" t="str">
        <x:v>Sedan</x:v>
      </x:c>
      <x:c r="K38" s="129" t="str">
        <x:v>FWD</x:v>
      </x:c>
      <x:c r="L38" s="129" t="str">
        <x:v>2.0L MPI I4</x:v>
      </x:c>
      <x:c r="M38" s="129" t="str">
        <x:v>Gasoline</x:v>
      </x:c>
      <x:c r="N38" s="129" t="str">
        <x:v>IVT</x:v>
      </x:c>
      <x:c r="O38" s="129" t="str">
        <x:v>Great Deal</x:v>
      </x:c>
      <x:c r="P38" s="129" t="str">
        <x:v>7th Generation</x:v>
      </x:c>
      <x:c r="Q38" s="144" t="str"/>
      <x:c r="R38" s="129" t="str">
        <x:v>Elantra</x:v>
      </x:c>
      <x:c r="S38" s="129" t="str">
        <x:v>Mainstream Compact</x:v>
      </x:c>
      <x:c r="T38" s="147" t="n">
        <x:f>2026-G38</x:f>
        <x:v>3</x:v>
      </x:c>
      <x:c r="U38" s="150" t="n">
        <x:f>IF(T38&gt;0,I38/T38,"")</x:f>
        <x:v>43423</x:v>
      </x:c>
      <x:c r="V38" s="129" t="str">
        <x:v>Regular Gasoline</x:v>
      </x:c>
      <x:c r="W38" s="129" t="str">
        <x:v>No</x:v>
      </x:c>
      <x:c r="X38" s="129" t="str">
        <x:v>Very High</x:v>
      </x:c>
      <x:c r="Y38" s="129" t="str">
        <x:f>IF(R38="AMG C43","No","Yes")</x:f>
        <x:v>Yes</x:v>
      </x:c>
      <x:c r="Z38" s="144" t="str">
        <x:f>IF(Y38="No","Excluded from final analysis: AMG performance model outside the predefined C300 candidate category.","")</x:f>
      </x:c>
    </x:row>
    <x:row r="39">
      <x:c r="A39" s="129" t="str">
        <x:v>ELAN_018</x:v>
      </x:c>
      <x:c r="B39" s="132" t="n">
        <x:v>46233</x:v>
      </x:c>
      <x:c r="C39" s="129" t="str">
        <x:v>Waterloo</x:v>
      </x:c>
      <x:c r="D39" s="129" t="str">
        <x:v>Hyundai</x:v>
      </x:c>
      <x:c r="E39" s="129" t="str">
        <x:v>Elantra</x:v>
      </x:c>
      <x:c r="F39" s="129" t="str">
        <x:v>Essential</x:v>
      </x:c>
      <x:c r="G39" s="135" t="n">
        <x:v>2024</x:v>
      </x:c>
      <x:c r="H39" s="138" t="n">
        <x:v>19999</x:v>
      </x:c>
      <x:c r="I39" s="141" t="n">
        <x:v>54272</x:v>
      </x:c>
      <x:c r="J39" s="129" t="str">
        <x:v>Sedan</x:v>
      </x:c>
      <x:c r="K39" s="129" t="str">
        <x:v>FWD</x:v>
      </x:c>
      <x:c r="L39" s="129" t="str">
        <x:v>2.0L MPI I4</x:v>
      </x:c>
      <x:c r="M39" s="129" t="str">
        <x:v>Gasoline</x:v>
      </x:c>
      <x:c r="N39" s="129" t="str">
        <x:v>IVT</x:v>
      </x:c>
      <x:c r="O39" s="129" t="str">
        <x:v>Great Deal</x:v>
      </x:c>
      <x:c r="P39" s="129" t="str">
        <x:v>7th Generation</x:v>
      </x:c>
      <x:c r="Q39" s="144" t="str">
        <x:v>Price reduced by $1,000</x:v>
      </x:c>
      <x:c r="R39" s="129" t="str">
        <x:v>Elantra</x:v>
      </x:c>
      <x:c r="S39" s="129" t="str">
        <x:v>Mainstream Compact</x:v>
      </x:c>
      <x:c r="T39" s="147" t="n">
        <x:f>2026-G39</x:f>
        <x:v>2</x:v>
      </x:c>
      <x:c r="U39" s="150" t="n">
        <x:f>IF(T39&gt;0,I39/T39,"")</x:f>
        <x:v>27136</x:v>
      </x:c>
      <x:c r="V39" s="129" t="str">
        <x:v>Regular Gasoline</x:v>
      </x:c>
      <x:c r="W39" s="129" t="str">
        <x:v>No</x:v>
      </x:c>
      <x:c r="X39" s="129" t="str">
        <x:v>Normal</x:v>
      </x:c>
      <x:c r="Y39" s="129" t="str">
        <x:f>IF(R39="AMG C43","No","Yes")</x:f>
        <x:v>Yes</x:v>
      </x:c>
      <x:c r="Z39" s="144" t="str">
        <x:f>IF(Y39="No","Excluded from final analysis: AMG performance model outside the predefined C300 candidate category.","")</x:f>
      </x:c>
    </x:row>
    <x:row r="40">
      <x:c r="A40" s="129" t="str">
        <x:v>ELAN_019</x:v>
      </x:c>
      <x:c r="B40" s="132" t="n">
        <x:v>46233</x:v>
      </x:c>
      <x:c r="C40" s="129" t="str">
        <x:v>Belleville</x:v>
      </x:c>
      <x:c r="D40" s="129" t="str">
        <x:v>Hyundai</x:v>
      </x:c>
      <x:c r="E40" s="129" t="str">
        <x:v>Elantra</x:v>
      </x:c>
      <x:c r="F40" s="129" t="str">
        <x:v>Essential</x:v>
      </x:c>
      <x:c r="G40" s="135" t="n">
        <x:v>2025</x:v>
      </x:c>
      <x:c r="H40" s="138" t="n">
        <x:v>19981</x:v>
      </x:c>
      <x:c r="I40" s="141" t="n">
        <x:v>32113</x:v>
      </x:c>
      <x:c r="J40" s="129" t="str">
        <x:v>Sedan</x:v>
      </x:c>
      <x:c r="K40" s="129" t="str">
        <x:v>FWD</x:v>
      </x:c>
      <x:c r="L40" s="129" t="str">
        <x:v>2.0L MPI I4</x:v>
      </x:c>
      <x:c r="M40" s="129" t="str">
        <x:v>Gasoline</x:v>
      </x:c>
      <x:c r="N40" s="129" t="str">
        <x:v>IVT</x:v>
      </x:c>
      <x:c r="O40" s="129" t="str">
        <x:v>Great Deal</x:v>
      </x:c>
      <x:c r="P40" s="129" t="str">
        <x:v>7th Generation</x:v>
      </x:c>
      <x:c r="Q40" s="144" t="str"/>
      <x:c r="R40" s="129" t="str">
        <x:v>Elantra</x:v>
      </x:c>
      <x:c r="S40" s="129" t="str">
        <x:v>Mainstream Compact</x:v>
      </x:c>
      <x:c r="T40" s="147" t="n">
        <x:f>2026-G40</x:f>
        <x:v>1</x:v>
      </x:c>
      <x:c r="U40" s="150" t="n">
        <x:f>IF(T40&gt;0,I40/T40,"")</x:f>
        <x:v>32113</x:v>
      </x:c>
      <x:c r="V40" s="129" t="str">
        <x:v>Regular Gasoline</x:v>
      </x:c>
      <x:c r="W40" s="129" t="str">
        <x:v>No</x:v>
      </x:c>
      <x:c r="X40" s="129" t="str">
        <x:v>Normal</x:v>
      </x:c>
      <x:c r="Y40" s="129" t="str">
        <x:f>IF(R40="AMG C43","No","Yes")</x:f>
        <x:v>Yes</x:v>
      </x:c>
      <x:c r="Z40" s="144" t="str">
        <x:f>IF(Y40="No","Excluded from final analysis: AMG performance model outside the predefined C300 candidate category.","")</x:f>
      </x:c>
    </x:row>
    <x:row r="41">
      <x:c r="A41" s="129" t="str">
        <x:v>ELAN_020</x:v>
      </x:c>
      <x:c r="B41" s="132" t="n">
        <x:v>46233</x:v>
      </x:c>
      <x:c r="C41" s="129" t="str">
        <x:v>Cambridge</x:v>
      </x:c>
      <x:c r="D41" s="129" t="str">
        <x:v>Hyundai</x:v>
      </x:c>
      <x:c r="E41" s="129" t="str">
        <x:v>Elantra</x:v>
      </x:c>
      <x:c r="F41" s="129" t="str">
        <x:v>Preferred</x:v>
      </x:c>
      <x:c r="G41" s="135" t="n">
        <x:v>2025</x:v>
      </x:c>
      <x:c r="H41" s="138" t="n">
        <x:v>23316</x:v>
      </x:c>
      <x:c r="I41" s="141" t="n">
        <x:v>19255</x:v>
      </x:c>
      <x:c r="J41" s="129" t="str">
        <x:v>Sedan</x:v>
      </x:c>
      <x:c r="K41" s="129" t="str">
        <x:v>FWD</x:v>
      </x:c>
      <x:c r="L41" s="129" t="str">
        <x:v>2.0L MPI I4</x:v>
      </x:c>
      <x:c r="M41" s="129" t="str">
        <x:v>Gasoline</x:v>
      </x:c>
      <x:c r="N41" s="129" t="str">
        <x:v>IVT</x:v>
      </x:c>
      <x:c r="O41" s="129" t="str">
        <x:v>Great Deal</x:v>
      </x:c>
      <x:c r="P41" s="129" t="str">
        <x:v>7th Generation</x:v>
      </x:c>
      <x:c r="Q41" s="144" t="str"/>
      <x:c r="R41" s="129" t="str">
        <x:v>Elantra</x:v>
      </x:c>
      <x:c r="S41" s="129" t="str">
        <x:v>Mainstream Compact</x:v>
      </x:c>
      <x:c r="T41" s="147" t="n">
        <x:f>2026-G41</x:f>
        <x:v>1</x:v>
      </x:c>
      <x:c r="U41" s="150" t="n">
        <x:f>IF(T41&gt;0,I41/T41,"")</x:f>
        <x:v>19255</x:v>
      </x:c>
      <x:c r="V41" s="129" t="str">
        <x:v>Regular Gasoline</x:v>
      </x:c>
      <x:c r="W41" s="129" t="str">
        <x:v>No</x:v>
      </x:c>
      <x:c r="X41" s="129" t="str">
        <x:v>Normal</x:v>
      </x:c>
      <x:c r="Y41" s="129" t="str">
        <x:f>IF(R41="AMG C43","No","Yes")</x:f>
        <x:v>Yes</x:v>
      </x:c>
      <x:c r="Z41" s="144" t="str">
        <x:f>IF(Y41="No","Excluded from final analysis: AMG performance model outside the predefined C300 candidate category.","")</x:f>
      </x:c>
    </x:row>
    <x:row r="42">
      <x:c r="A42" s="129" t="str">
        <x:v>ACCH_001</x:v>
      </x:c>
      <x:c r="B42" s="132" t="n">
        <x:v>46233</x:v>
      </x:c>
      <x:c r="C42" s="129" t="str">
        <x:v>Brampton</x:v>
      </x:c>
      <x:c r="D42" s="129" t="str">
        <x:v>Honda</x:v>
      </x:c>
      <x:c r="E42" s="129" t="str">
        <x:v>Accord Hybrid</x:v>
      </x:c>
      <x:c r="F42" s="129" t="str">
        <x:v>Touring</x:v>
      </x:c>
      <x:c r="G42" s="135" t="n">
        <x:v>2023</x:v>
      </x:c>
      <x:c r="H42" s="138" t="n">
        <x:v>27501</x:v>
      </x:c>
      <x:c r="I42" s="141" t="n">
        <x:v>106134</x:v>
      </x:c>
      <x:c r="J42" s="129" t="str">
        <x:v>Sedan</x:v>
      </x:c>
      <x:c r="K42" s="129" t="str">
        <x:v>FWD</x:v>
      </x:c>
      <x:c r="L42" s="129" t="str">
        <x:v>2.0L I4 Hybrid</x:v>
      </x:c>
      <x:c r="M42" s="129" t="str">
        <x:v>Hybrid</x:v>
      </x:c>
      <x:c r="N42" s="129" t="str">
        <x:v>e-CVT</x:v>
      </x:c>
      <x:c r="O42" s="129" t="str">
        <x:v>Great Deal</x:v>
      </x:c>
      <x:c r="P42" s="129" t="str">
        <x:v>11th Generation</x:v>
      </x:c>
      <x:c r="Q42" s="144" t="str"/>
      <x:c r="R42" s="129" t="str">
        <x:v>Accord Hybrid</x:v>
      </x:c>
      <x:c r="S42" s="129" t="str">
        <x:v>Mainstream Midsize</x:v>
      </x:c>
      <x:c r="T42" s="147" t="n">
        <x:f>2026-G42</x:f>
        <x:v>3</x:v>
      </x:c>
      <x:c r="U42" s="150" t="n">
        <x:f>IF(T42&gt;0,I42/T42,"")</x:f>
        <x:v>35378</x:v>
      </x:c>
      <x:c r="V42" s="129" t="str">
        <x:v>Hybrid</x:v>
      </x:c>
      <x:c r="W42" s="129" t="str">
        <x:v>No</x:v>
      </x:c>
      <x:c r="X42" s="129" t="str">
        <x:v>Normal</x:v>
      </x:c>
      <x:c r="Y42" s="129" t="str">
        <x:f>IF(R42="AMG C43","No","Yes")</x:f>
        <x:v>Yes</x:v>
      </x:c>
      <x:c r="Z42" s="144" t="str">
        <x:f>IF(Y42="No","Excluded from final analysis: AMG performance model outside the predefined C300 candidate category.","")</x:f>
      </x:c>
    </x:row>
    <x:row r="43">
      <x:c r="A43" s="129" t="str">
        <x:v>ACCH_002</x:v>
      </x:c>
      <x:c r="B43" s="132" t="n">
        <x:v>46233</x:v>
      </x:c>
      <x:c r="C43" s="129" t="str">
        <x:v>Brampton</x:v>
      </x:c>
      <x:c r="D43" s="129" t="str">
        <x:v>Honda</x:v>
      </x:c>
      <x:c r="E43" s="129" t="str">
        <x:v>Accord Hybrid</x:v>
      </x:c>
      <x:c r="F43" s="129" t="str">
        <x:v>Touring</x:v>
      </x:c>
      <x:c r="G43" s="135" t="n">
        <x:v>2023</x:v>
      </x:c>
      <x:c r="H43" s="138" t="n">
        <x:v>34999</x:v>
      </x:c>
      <x:c r="I43" s="141" t="n">
        <x:v>32242</x:v>
      </x:c>
      <x:c r="J43" s="129" t="str">
        <x:v>Sedan</x:v>
      </x:c>
      <x:c r="K43" s="129" t="str">
        <x:v>FWD</x:v>
      </x:c>
      <x:c r="L43" s="129" t="str">
        <x:v>2.0L I4 Hybrid</x:v>
      </x:c>
      <x:c r="M43" s="129" t="str">
        <x:v>Hybrid</x:v>
      </x:c>
      <x:c r="N43" s="129" t="str">
        <x:v>e-CVT</x:v>
      </x:c>
      <x:c r="O43" s="129" t="str">
        <x:v>Good Deal</x:v>
      </x:c>
      <x:c r="P43" s="129" t="str">
        <x:v>11th Generation</x:v>
      </x:c>
      <x:c r="Q43" s="144" t="str">
        <x:v>Price reduced by $1,000</x:v>
      </x:c>
      <x:c r="R43" s="129" t="str">
        <x:v>Accord Hybrid</x:v>
      </x:c>
      <x:c r="S43" s="129" t="str">
        <x:v>Mainstream Midsize</x:v>
      </x:c>
      <x:c r="T43" s="147" t="n">
        <x:f>2026-G43</x:f>
        <x:v>3</x:v>
      </x:c>
      <x:c r="U43" s="150" t="n">
        <x:f>IF(T43&gt;0,I43/T43,"")</x:f>
        <x:v>10747.333333333334</x:v>
      </x:c>
      <x:c r="V43" s="129" t="str">
        <x:v>Hybrid</x:v>
      </x:c>
      <x:c r="W43" s="129" t="str">
        <x:v>No</x:v>
      </x:c>
      <x:c r="X43" s="129" t="str">
        <x:v>Normal</x:v>
      </x:c>
      <x:c r="Y43" s="129" t="str">
        <x:f>IF(R43="AMG C43","No","Yes")</x:f>
        <x:v>Yes</x:v>
      </x:c>
      <x:c r="Z43" s="144" t="str">
        <x:f>IF(Y43="No","Excluded from final analysis: AMG performance model outside the predefined C300 candidate category.","")</x:f>
      </x:c>
    </x:row>
    <x:row r="44">
      <x:c r="A44" s="129" t="str">
        <x:v>ACCH_003</x:v>
      </x:c>
      <x:c r="B44" s="132" t="n">
        <x:v>46233</x:v>
      </x:c>
      <x:c r="C44" s="129" t="str">
        <x:v>Toronto</x:v>
      </x:c>
      <x:c r="D44" s="129" t="str">
        <x:v>Honda</x:v>
      </x:c>
      <x:c r="E44" s="129" t="str">
        <x:v>Accord Hybrid</x:v>
      </x:c>
      <x:c r="F44" s="129" t="str">
        <x:v>Touring</x:v>
      </x:c>
      <x:c r="G44" s="135" t="n">
        <x:v>2025</x:v>
      </x:c>
      <x:c r="H44" s="138" t="n">
        <x:v>39998</x:v>
      </x:c>
      <x:c r="I44" s="141" t="n">
        <x:v>11108</x:v>
      </x:c>
      <x:c r="J44" s="129" t="str">
        <x:v>Sedan</x:v>
      </x:c>
      <x:c r="K44" s="129" t="str">
        <x:v>FWD</x:v>
      </x:c>
      <x:c r="L44" s="129" t="str">
        <x:v>2.0L I4 Hybrid</x:v>
      </x:c>
      <x:c r="M44" s="129" t="str">
        <x:v>Hybrid</x:v>
      </x:c>
      <x:c r="N44" s="129" t="str">
        <x:v>e-CVT</x:v>
      </x:c>
      <x:c r="O44" s="129" t="str">
        <x:v>Good Deal</x:v>
      </x:c>
      <x:c r="P44" s="129" t="str">
        <x:v>11th Generation</x:v>
      </x:c>
      <x:c r="Q44" s="144" t="str"/>
      <x:c r="R44" s="129" t="str">
        <x:v>Accord Hybrid</x:v>
      </x:c>
      <x:c r="S44" s="129" t="str">
        <x:v>Mainstream Midsize</x:v>
      </x:c>
      <x:c r="T44" s="147" t="n">
        <x:f>2026-G44</x:f>
        <x:v>1</x:v>
      </x:c>
      <x:c r="U44" s="150" t="n">
        <x:f>IF(T44&gt;0,I44/T44,"")</x:f>
        <x:v>11108</x:v>
      </x:c>
      <x:c r="V44" s="129" t="str">
        <x:v>Hybrid</x:v>
      </x:c>
      <x:c r="W44" s="129" t="str">
        <x:v>No</x:v>
      </x:c>
      <x:c r="X44" s="129" t="str">
        <x:v>Normal</x:v>
      </x:c>
      <x:c r="Y44" s="129" t="str">
        <x:f>IF(R44="AMG C43","No","Yes")</x:f>
        <x:v>Yes</x:v>
      </x:c>
      <x:c r="Z44" s="144" t="str">
        <x:f>IF(Y44="No","Excluded from final analysis: AMG performance model outside the predefined C300 candidate category.","")</x:f>
      </x:c>
    </x:row>
    <x:row r="45">
      <x:c r="A45" s="129" t="str">
        <x:v>ACCH_004</x:v>
      </x:c>
      <x:c r="B45" s="132" t="n">
        <x:v>46233</x:v>
      </x:c>
      <x:c r="C45" s="129" t="str">
        <x:v>Whitby</x:v>
      </x:c>
      <x:c r="D45" s="129" t="str">
        <x:v>Honda</x:v>
      </x:c>
      <x:c r="E45" s="129" t="str">
        <x:v>Accord Hybrid</x:v>
      </x:c>
      <x:c r="F45" s="129" t="str">
        <x:v>Sport</x:v>
      </x:c>
      <x:c r="G45" s="135" t="n">
        <x:v>2024</x:v>
      </x:c>
      <x:c r="H45" s="138" t="n">
        <x:v>35500</x:v>
      </x:c>
      <x:c r="I45" s="141" t="n">
        <x:v>18508</x:v>
      </x:c>
      <x:c r="J45" s="129" t="str">
        <x:v>Sedan</x:v>
      </x:c>
      <x:c r="K45" s="129" t="str">
        <x:v>FWD</x:v>
      </x:c>
      <x:c r="L45" s="129" t="str">
        <x:v>2.0L I4 Hybrid</x:v>
      </x:c>
      <x:c r="M45" s="129" t="str">
        <x:v>Hybrid</x:v>
      </x:c>
      <x:c r="N45" s="129" t="str">
        <x:v>e-CVT</x:v>
      </x:c>
      <x:c r="O45" s="129" t="str">
        <x:v>Great Deal</x:v>
      </x:c>
      <x:c r="P45" s="129" t="str">
        <x:v>11th Generation</x:v>
      </x:c>
      <x:c r="Q45" s="144" t="str"/>
      <x:c r="R45" s="129" t="str">
        <x:v>Accord Hybrid</x:v>
      </x:c>
      <x:c r="S45" s="129" t="str">
        <x:v>Mainstream Midsize</x:v>
      </x:c>
      <x:c r="T45" s="147" t="n">
        <x:f>2026-G45</x:f>
        <x:v>2</x:v>
      </x:c>
      <x:c r="U45" s="150" t="n">
        <x:f>IF(T45&gt;0,I45/T45,"")</x:f>
        <x:v>9254</x:v>
      </x:c>
      <x:c r="V45" s="129" t="str">
        <x:v>Hybrid</x:v>
      </x:c>
      <x:c r="W45" s="129" t="str">
        <x:v>No</x:v>
      </x:c>
      <x:c r="X45" s="129" t="str">
        <x:v>Normal</x:v>
      </x:c>
      <x:c r="Y45" s="129" t="str">
        <x:f>IF(R45="AMG C43","No","Yes")</x:f>
        <x:v>Yes</x:v>
      </x:c>
      <x:c r="Z45" s="144" t="str">
        <x:f>IF(Y45="No","Excluded from final analysis: AMG performance model outside the predefined C300 candidate category.","")</x:f>
      </x:c>
    </x:row>
    <x:row r="46">
      <x:c r="A46" s="129" t="str">
        <x:v>ACCH_005</x:v>
      </x:c>
      <x:c r="B46" s="132" t="n">
        <x:v>46233</x:v>
      </x:c>
      <x:c r="C46" s="129" t="str">
        <x:v>Whitby</x:v>
      </x:c>
      <x:c r="D46" s="129" t="str">
        <x:v>Honda</x:v>
      </x:c>
      <x:c r="E46" s="129" t="str">
        <x:v>Accord Hybrid</x:v>
      </x:c>
      <x:c r="F46" s="129" t="str">
        <x:v>Sport</x:v>
      </x:c>
      <x:c r="G46" s="135" t="n">
        <x:v>2024</x:v>
      </x:c>
      <x:c r="H46" s="138" t="n">
        <x:v>34700</x:v>
      </x:c>
      <x:c r="I46" s="141" t="n">
        <x:v>22289</x:v>
      </x:c>
      <x:c r="J46" s="129" t="str">
        <x:v>Sedan</x:v>
      </x:c>
      <x:c r="K46" s="129" t="str">
        <x:v>FWD</x:v>
      </x:c>
      <x:c r="L46" s="129" t="str">
        <x:v>2.0L I4 Hybrid</x:v>
      </x:c>
      <x:c r="M46" s="129" t="str">
        <x:v>Hybrid</x:v>
      </x:c>
      <x:c r="N46" s="129" t="str">
        <x:v>e-CVT</x:v>
      </x:c>
      <x:c r="O46" s="129" t="str">
        <x:v>Great Deal</x:v>
      </x:c>
      <x:c r="P46" s="129" t="str">
        <x:v>11th Generation</x:v>
      </x:c>
      <x:c r="Q46" s="144" t="str"/>
      <x:c r="R46" s="129" t="str">
        <x:v>Accord Hybrid</x:v>
      </x:c>
      <x:c r="S46" s="129" t="str">
        <x:v>Mainstream Midsize</x:v>
      </x:c>
      <x:c r="T46" s="147" t="n">
        <x:f>2026-G46</x:f>
        <x:v>2</x:v>
      </x:c>
      <x:c r="U46" s="150" t="n">
        <x:f>IF(T46&gt;0,I46/T46,"")</x:f>
        <x:v>11144.5</x:v>
      </x:c>
      <x:c r="V46" s="129" t="str">
        <x:v>Hybrid</x:v>
      </x:c>
      <x:c r="W46" s="129" t="str">
        <x:v>No</x:v>
      </x:c>
      <x:c r="X46" s="129" t="str">
        <x:v>Normal</x:v>
      </x:c>
      <x:c r="Y46" s="129" t="str">
        <x:f>IF(R46="AMG C43","No","Yes")</x:f>
        <x:v>Yes</x:v>
      </x:c>
      <x:c r="Z46" s="144" t="str">
        <x:f>IF(Y46="No","Excluded from final analysis: AMG performance model outside the predefined C300 candidate category.","")</x:f>
      </x:c>
    </x:row>
    <x:row r="47">
      <x:c r="A47" s="129" t="str">
        <x:v>ACCH_006</x:v>
      </x:c>
      <x:c r="B47" s="132" t="n">
        <x:v>46233</x:v>
      </x:c>
      <x:c r="C47" s="129" t="str">
        <x:v>Brampton</x:v>
      </x:c>
      <x:c r="D47" s="129" t="str">
        <x:v>Honda</x:v>
      </x:c>
      <x:c r="E47" s="129" t="str">
        <x:v>Accord Hybrid</x:v>
      </x:c>
      <x:c r="F47" s="129" t="str">
        <x:v>Sport</x:v>
      </x:c>
      <x:c r="G47" s="135" t="n">
        <x:v>2023</x:v>
      </x:c>
      <x:c r="H47" s="138" t="n">
        <x:v>26999</x:v>
      </x:c>
      <x:c r="I47" s="141" t="n">
        <x:v>96993</x:v>
      </x:c>
      <x:c r="J47" s="129" t="str">
        <x:v>Sedan</x:v>
      </x:c>
      <x:c r="K47" s="129" t="str">
        <x:v>FWD</x:v>
      </x:c>
      <x:c r="L47" s="129" t="str">
        <x:v>2.0L I4 Hybrid</x:v>
      </x:c>
      <x:c r="M47" s="129" t="str">
        <x:v>Hybrid</x:v>
      </x:c>
      <x:c r="N47" s="129" t="str">
        <x:v>e-CVT</x:v>
      </x:c>
      <x:c r="O47" s="129" t="str">
        <x:v>Great Deal</x:v>
      </x:c>
      <x:c r="P47" s="129" t="str">
        <x:v>11th Generation</x:v>
      </x:c>
      <x:c r="Q47" s="144" t="str"/>
      <x:c r="R47" s="129" t="str">
        <x:v>Accord Hybrid</x:v>
      </x:c>
      <x:c r="S47" s="129" t="str">
        <x:v>Mainstream Midsize</x:v>
      </x:c>
      <x:c r="T47" s="147" t="n">
        <x:f>2026-G47</x:f>
        <x:v>3</x:v>
      </x:c>
      <x:c r="U47" s="150" t="n">
        <x:f>IF(T47&gt;0,I47/T47,"")</x:f>
        <x:v>32331</x:v>
      </x:c>
      <x:c r="V47" s="129" t="str">
        <x:v>Hybrid</x:v>
      </x:c>
      <x:c r="W47" s="129" t="str">
        <x:v>No</x:v>
      </x:c>
      <x:c r="X47" s="129" t="str">
        <x:v>Normal</x:v>
      </x:c>
      <x:c r="Y47" s="129" t="str">
        <x:f>IF(R47="AMG C43","No","Yes")</x:f>
        <x:v>Yes</x:v>
      </x:c>
      <x:c r="Z47" s="144" t="str">
        <x:f>IF(Y47="No","Excluded from final analysis: AMG performance model outside the predefined C300 candidate category.","")</x:f>
      </x:c>
    </x:row>
    <x:row r="48">
      <x:c r="A48" s="129" t="str">
        <x:v>ACCH_007</x:v>
      </x:c>
      <x:c r="B48" s="132" t="n">
        <x:v>46233</x:v>
      </x:c>
      <x:c r="C48" s="129" t="str">
        <x:v>Whitby</x:v>
      </x:c>
      <x:c r="D48" s="129" t="str">
        <x:v>Honda</x:v>
      </x:c>
      <x:c r="E48" s="129" t="str">
        <x:v>Accord Hybrid</x:v>
      </x:c>
      <x:c r="F48" s="129" t="str">
        <x:v>Sport</x:v>
      </x:c>
      <x:c r="G48" s="135" t="n">
        <x:v>2023</x:v>
      </x:c>
      <x:c r="H48" s="138" t="n">
        <x:v>31500</x:v>
      </x:c>
      <x:c r="I48" s="141" t="n">
        <x:v>78173</x:v>
      </x:c>
      <x:c r="J48" s="129" t="str">
        <x:v>Sedan</x:v>
      </x:c>
      <x:c r="K48" s="129" t="str">
        <x:v>FWD</x:v>
      </x:c>
      <x:c r="L48" s="129" t="str">
        <x:v>2.0L I4 Hybrid</x:v>
      </x:c>
      <x:c r="M48" s="129" t="str">
        <x:v>Hybrid</x:v>
      </x:c>
      <x:c r="N48" s="129" t="str">
        <x:v>e-CVT</x:v>
      </x:c>
      <x:c r="O48" s="129" t="str">
        <x:v>Good Deal</x:v>
      </x:c>
      <x:c r="P48" s="129" t="str">
        <x:v>11th Generation</x:v>
      </x:c>
      <x:c r="Q48" s="144" t="str"/>
      <x:c r="R48" s="129" t="str">
        <x:v>Accord Hybrid</x:v>
      </x:c>
      <x:c r="S48" s="129" t="str">
        <x:v>Mainstream Midsize</x:v>
      </x:c>
      <x:c r="T48" s="147" t="n">
        <x:f>2026-G48</x:f>
        <x:v>3</x:v>
      </x:c>
      <x:c r="U48" s="150" t="n">
        <x:f>IF(T48&gt;0,I48/T48,"")</x:f>
        <x:v>26057.666666666668</x:v>
      </x:c>
      <x:c r="V48" s="129" t="str">
        <x:v>Hybrid</x:v>
      </x:c>
      <x:c r="W48" s="129" t="str">
        <x:v>No</x:v>
      </x:c>
      <x:c r="X48" s="129" t="str">
        <x:v>Normal</x:v>
      </x:c>
      <x:c r="Y48" s="129" t="str">
        <x:f>IF(R48="AMG C43","No","Yes")</x:f>
        <x:v>Yes</x:v>
      </x:c>
      <x:c r="Z48" s="144" t="str">
        <x:f>IF(Y48="No","Excluded from final analysis: AMG performance model outside the predefined C300 candidate category.","")</x:f>
      </x:c>
    </x:row>
    <x:row r="49">
      <x:c r="A49" s="129" t="str">
        <x:v>ACCH_008</x:v>
      </x:c>
      <x:c r="B49" s="132" t="n">
        <x:v>46233</x:v>
      </x:c>
      <x:c r="C49" s="129" t="str">
        <x:v>Brampton</x:v>
      </x:c>
      <x:c r="D49" s="129" t="str">
        <x:v>Honda</x:v>
      </x:c>
      <x:c r="E49" s="129" t="str">
        <x:v>Accord Hybrid</x:v>
      </x:c>
      <x:c r="F49" s="129" t="str">
        <x:v>Touring</x:v>
      </x:c>
      <x:c r="G49" s="135" t="n">
        <x:v>2024</x:v>
      </x:c>
      <x:c r="H49" s="138" t="n">
        <x:v>31495</x:v>
      </x:c>
      <x:c r="I49" s="141" t="n">
        <x:v>144795</x:v>
      </x:c>
      <x:c r="J49" s="129" t="str">
        <x:v>Sedan</x:v>
      </x:c>
      <x:c r="K49" s="129" t="str">
        <x:v>FWD</x:v>
      </x:c>
      <x:c r="L49" s="129" t="str">
        <x:v>2.0L I4 Hybrid</x:v>
      </x:c>
      <x:c r="M49" s="129" t="str">
        <x:v>Hybrid</x:v>
      </x:c>
      <x:c r="N49" s="129" t="str">
        <x:v>e-CVT</x:v>
      </x:c>
      <x:c r="O49" s="129" t="str">
        <x:v>Good Deal</x:v>
      </x:c>
      <x:c r="P49" s="129" t="str">
        <x:v>11th Generation</x:v>
      </x:c>
      <x:c r="Q49" s="144" t="str">
        <x:v>High mileage</x:v>
      </x:c>
      <x:c r="R49" s="129" t="str">
        <x:v>Accord Hybrid</x:v>
      </x:c>
      <x:c r="S49" s="129" t="str">
        <x:v>Mainstream Midsize</x:v>
      </x:c>
      <x:c r="T49" s="147" t="n">
        <x:f>2026-G49</x:f>
        <x:v>2</x:v>
      </x:c>
      <x:c r="U49" s="150" t="n">
        <x:f>IF(T49&gt;0,I49/T49,"")</x:f>
        <x:v>72397.5</x:v>
      </x:c>
      <x:c r="V49" s="129" t="str">
        <x:v>Hybrid</x:v>
      </x:c>
      <x:c r="W49" s="129" t="str">
        <x:v>No</x:v>
      </x:c>
      <x:c r="X49" s="129" t="str">
        <x:v>Very High</x:v>
      </x:c>
      <x:c r="Y49" s="129" t="str">
        <x:f>IF(R49="AMG C43","No","Yes")</x:f>
        <x:v>Yes</x:v>
      </x:c>
      <x:c r="Z49" s="144" t="str">
        <x:f>IF(Y49="No","Excluded from final analysis: AMG performance model outside the predefined C300 candidate category.","")</x:f>
      </x:c>
    </x:row>
    <x:row r="50">
      <x:c r="A50" s="129" t="str">
        <x:v>ACCH_009</x:v>
      </x:c>
      <x:c r="B50" s="132" t="n">
        <x:v>46233</x:v>
      </x:c>
      <x:c r="C50" s="129" t="str">
        <x:v>Burlington</x:v>
      </x:c>
      <x:c r="D50" s="129" t="str">
        <x:v>Honda</x:v>
      </x:c>
      <x:c r="E50" s="129" t="str">
        <x:v>Accord Hybrid</x:v>
      </x:c>
      <x:c r="F50" s="129" t="str">
        <x:v>Touring</x:v>
      </x:c>
      <x:c r="G50" s="135" t="n">
        <x:v>2023</x:v>
      </x:c>
      <x:c r="H50" s="138" t="n">
        <x:v>33498</x:v>
      </x:c>
      <x:c r="I50" s="141" t="n">
        <x:v>75281</x:v>
      </x:c>
      <x:c r="J50" s="129" t="str">
        <x:v>Sedan</x:v>
      </x:c>
      <x:c r="K50" s="129" t="str">
        <x:v>FWD</x:v>
      </x:c>
      <x:c r="L50" s="129" t="str">
        <x:v>2.0L I4 Hybrid</x:v>
      </x:c>
      <x:c r="M50" s="129" t="str">
        <x:v>Hybrid</x:v>
      </x:c>
      <x:c r="N50" s="129" t="str">
        <x:v>e-CVT</x:v>
      </x:c>
      <x:c r="O50" s="129" t="str">
        <x:v>Good Deal</x:v>
      </x:c>
      <x:c r="P50" s="129" t="str">
        <x:v>11th Generation</x:v>
      </x:c>
      <x:c r="Q50" s="144" t="str"/>
      <x:c r="R50" s="129" t="str">
        <x:v>Accord Hybrid</x:v>
      </x:c>
      <x:c r="S50" s="129" t="str">
        <x:v>Mainstream Midsize</x:v>
      </x:c>
      <x:c r="T50" s="147" t="n">
        <x:f>2026-G50</x:f>
        <x:v>3</x:v>
      </x:c>
      <x:c r="U50" s="150" t="n">
        <x:f>IF(T50&gt;0,I50/T50,"")</x:f>
        <x:v>25093.666666666668</x:v>
      </x:c>
      <x:c r="V50" s="129" t="str">
        <x:v>Hybrid</x:v>
      </x:c>
      <x:c r="W50" s="129" t="str">
        <x:v>No</x:v>
      </x:c>
      <x:c r="X50" s="129" t="str">
        <x:v>Normal</x:v>
      </x:c>
      <x:c r="Y50" s="129" t="str">
        <x:f>IF(R50="AMG C43","No","Yes")</x:f>
        <x:v>Yes</x:v>
      </x:c>
      <x:c r="Z50" s="144" t="str">
        <x:f>IF(Y50="No","Excluded from final analysis: AMG performance model outside the predefined C300 candidate category.","")</x:f>
      </x:c>
    </x:row>
    <x:row r="51">
      <x:c r="A51" s="129" t="str">
        <x:v>ACCH_010</x:v>
      </x:c>
      <x:c r="B51" s="132" t="n">
        <x:v>46233</x:v>
      </x:c>
      <x:c r="C51" s="129" t="str">
        <x:v>Newmarket</x:v>
      </x:c>
      <x:c r="D51" s="129" t="str">
        <x:v>Honda</x:v>
      </x:c>
      <x:c r="E51" s="129" t="str">
        <x:v>Accord Hybrid</x:v>
      </x:c>
      <x:c r="F51" s="129" t="str">
        <x:v>Sport</x:v>
      </x:c>
      <x:c r="G51" s="135" t="n">
        <x:v>2024</x:v>
      </x:c>
      <x:c r="H51" s="138" t="n">
        <x:v>37988</x:v>
      </x:c>
      <x:c r="I51" s="141" t="n">
        <x:v>402</x:v>
      </x:c>
      <x:c r="J51" s="129" t="str">
        <x:v>Sedan</x:v>
      </x:c>
      <x:c r="K51" s="129" t="str">
        <x:v>FWD</x:v>
      </x:c>
      <x:c r="L51" s="129" t="str">
        <x:v>2.0L I4 Hybrid</x:v>
      </x:c>
      <x:c r="M51" s="129" t="str">
        <x:v>Hybrid</x:v>
      </x:c>
      <x:c r="N51" s="129" t="str">
        <x:v>e-CVT</x:v>
      </x:c>
      <x:c r="O51" s="129" t="str">
        <x:v>Good Deal</x:v>
      </x:c>
      <x:c r="P51" s="129" t="str">
        <x:v>11th Generation</x:v>
      </x:c>
      <x:c r="Q51" s="144" t="str">
        <x:v>Unusually low mileage</x:v>
      </x:c>
      <x:c r="R51" s="129" t="str">
        <x:v>Accord Hybrid</x:v>
      </x:c>
      <x:c r="S51" s="129" t="str">
        <x:v>Mainstream Midsize</x:v>
      </x:c>
      <x:c r="T51" s="147" t="n">
        <x:f>2026-G51</x:f>
        <x:v>2</x:v>
      </x:c>
      <x:c r="U51" s="150" t="n">
        <x:f>IF(T51&gt;0,I51/T51,"")</x:f>
        <x:v>201</x:v>
      </x:c>
      <x:c r="V51" s="129" t="str">
        <x:v>Hybrid</x:v>
      </x:c>
      <x:c r="W51" s="129" t="str">
        <x:v>No</x:v>
      </x:c>
      <x:c r="X51" s="129" t="str">
        <x:v>Very Low</x:v>
      </x:c>
      <x:c r="Y51" s="129" t="str">
        <x:f>IF(R51="AMG C43","No","Yes")</x:f>
        <x:v>Yes</x:v>
      </x:c>
      <x:c r="Z51" s="144" t="str">
        <x:f>IF(Y51="No","Excluded from final analysis: AMG performance model outside the predefined C300 candidate category.","")</x:f>
      </x:c>
    </x:row>
    <x:row r="52">
      <x:c r="A52" s="129" t="str">
        <x:v>ACCH_011</x:v>
      </x:c>
      <x:c r="B52" s="132" t="n">
        <x:v>46233</x:v>
      </x:c>
      <x:c r="C52" s="129" t="str">
        <x:v>Mississauga</x:v>
      </x:c>
      <x:c r="D52" s="129" t="str">
        <x:v>Honda</x:v>
      </x:c>
      <x:c r="E52" s="129" t="str">
        <x:v>Accord Hybrid</x:v>
      </x:c>
      <x:c r="F52" s="129" t="str">
        <x:v>Touring</x:v>
      </x:c>
      <x:c r="G52" s="135" t="n">
        <x:v>2025</x:v>
      </x:c>
      <x:c r="H52" s="138" t="n">
        <x:v>39821</x:v>
      </x:c>
      <x:c r="I52" s="141" t="n">
        <x:v>25010</x:v>
      </x:c>
      <x:c r="J52" s="129" t="str">
        <x:v>Sedan</x:v>
      </x:c>
      <x:c r="K52" s="129" t="str">
        <x:v>FWD</x:v>
      </x:c>
      <x:c r="L52" s="129" t="str">
        <x:v>2.0L I4 Hybrid</x:v>
      </x:c>
      <x:c r="M52" s="129" t="str">
        <x:v>Hybrid</x:v>
      </x:c>
      <x:c r="N52" s="129" t="str">
        <x:v>e-CVT</x:v>
      </x:c>
      <x:c r="O52" s="129" t="str">
        <x:v>Good Deal</x:v>
      </x:c>
      <x:c r="P52" s="129" t="str">
        <x:v>11th Generation</x:v>
      </x:c>
      <x:c r="Q52" s="144" t="str">
        <x:v>Price reduced by $2,200</x:v>
      </x:c>
      <x:c r="R52" s="129" t="str">
        <x:v>Accord Hybrid</x:v>
      </x:c>
      <x:c r="S52" s="129" t="str">
        <x:v>Mainstream Midsize</x:v>
      </x:c>
      <x:c r="T52" s="147" t="n">
        <x:f>2026-G52</x:f>
        <x:v>1</x:v>
      </x:c>
      <x:c r="U52" s="150" t="n">
        <x:f>IF(T52&gt;0,I52/T52,"")</x:f>
        <x:v>25010</x:v>
      </x:c>
      <x:c r="V52" s="129" t="str">
        <x:v>Hybrid</x:v>
      </x:c>
      <x:c r="W52" s="129" t="str">
        <x:v>No</x:v>
      </x:c>
      <x:c r="X52" s="129" t="str">
        <x:v>Normal</x:v>
      </x:c>
      <x:c r="Y52" s="129" t="str">
        <x:f>IF(R52="AMG C43","No","Yes")</x:f>
        <x:v>Yes</x:v>
      </x:c>
      <x:c r="Z52" s="144" t="str">
        <x:f>IF(Y52="No","Excluded from final analysis: AMG performance model outside the predefined C300 candidate category.","")</x:f>
      </x:c>
    </x:row>
    <x:row r="53">
      <x:c r="A53" s="129" t="str">
        <x:v>ACCH_012</x:v>
      </x:c>
      <x:c r="B53" s="132" t="n">
        <x:v>46233</x:v>
      </x:c>
      <x:c r="C53" s="129" t="str">
        <x:v>Newmarket</x:v>
      </x:c>
      <x:c r="D53" s="129" t="str">
        <x:v>Honda</x:v>
      </x:c>
      <x:c r="E53" s="129" t="str">
        <x:v>Accord Hybrid</x:v>
      </x:c>
      <x:c r="F53" s="129" t="str">
        <x:v>Touring</x:v>
      </x:c>
      <x:c r="G53" s="135" t="n">
        <x:v>2026</x:v>
      </x:c>
      <x:c r="H53" s="138" t="n">
        <x:v>46499</x:v>
      </x:c>
      <x:c r="I53" s="141" t="n">
        <x:v>5695</x:v>
      </x:c>
      <x:c r="J53" s="129" t="str">
        <x:v>Sedan</x:v>
      </x:c>
      <x:c r="K53" s="129" t="str">
        <x:v>FWD</x:v>
      </x:c>
      <x:c r="L53" s="129" t="str">
        <x:v>2.0L I4 Hybrid</x:v>
      </x:c>
      <x:c r="M53" s="129" t="str">
        <x:v>Hybrid</x:v>
      </x:c>
      <x:c r="N53" s="129" t="str">
        <x:v>e-CVT</x:v>
      </x:c>
      <x:c r="O53" s="129" t="str">
        <x:v>Good Deal</x:v>
      </x:c>
      <x:c r="P53" s="129" t="str">
        <x:v>11th Generation</x:v>
      </x:c>
      <x:c r="Q53" s="144" t="str"/>
      <x:c r="R53" s="129" t="str">
        <x:v>Accord Hybrid</x:v>
      </x:c>
      <x:c r="S53" s="129" t="str">
        <x:v>Mainstream Midsize</x:v>
      </x:c>
      <x:c r="T53" s="147" t="n">
        <x:f>2026-G53</x:f>
        <x:v>0</x:v>
      </x:c>
      <x:c r="U53" s="150" t="str">
        <x:f>IF(T53&gt;0,I53/T53,"")</x:f>
      </x:c>
      <x:c r="V53" s="129" t="str">
        <x:v>Hybrid</x:v>
      </x:c>
      <x:c r="W53" s="129" t="str">
        <x:v>No</x:v>
      </x:c>
      <x:c r="X53" s="129" t="str">
        <x:v>Normal</x:v>
      </x:c>
      <x:c r="Y53" s="129" t="str">
        <x:f>IF(R53="AMG C43","No","Yes")</x:f>
        <x:v>Yes</x:v>
      </x:c>
      <x:c r="Z53" s="144" t="str">
        <x:f>IF(Y53="No","Excluded from final analysis: AMG performance model outside the predefined C300 candidate category.","")</x:f>
      </x:c>
    </x:row>
    <x:row r="54">
      <x:c r="A54" s="129" t="str">
        <x:v>ACCH_013</x:v>
      </x:c>
      <x:c r="B54" s="132" t="n">
        <x:v>46233</x:v>
      </x:c>
      <x:c r="C54" s="129" t="str">
        <x:v>Milton</x:v>
      </x:c>
      <x:c r="D54" s="129" t="str">
        <x:v>Honda</x:v>
      </x:c>
      <x:c r="E54" s="129" t="str">
        <x:v>Accord Hybrid</x:v>
      </x:c>
      <x:c r="F54" s="129" t="str">
        <x:v>Touring</x:v>
      </x:c>
      <x:c r="G54" s="135" t="n">
        <x:v>2025</x:v>
      </x:c>
      <x:c r="H54" s="138" t="n">
        <x:v>36499</x:v>
      </x:c>
      <x:c r="I54" s="141" t="n">
        <x:v>53714</x:v>
      </x:c>
      <x:c r="J54" s="129" t="str">
        <x:v>Sedan</x:v>
      </x:c>
      <x:c r="K54" s="129" t="str">
        <x:v>FWD</x:v>
      </x:c>
      <x:c r="L54" s="129" t="str">
        <x:v>2.0L I4 Hybrid</x:v>
      </x:c>
      <x:c r="M54" s="129" t="str">
        <x:v>Hybrid</x:v>
      </x:c>
      <x:c r="N54" s="129" t="str">
        <x:v>e-CVT</x:v>
      </x:c>
      <x:c r="O54" s="129" t="str">
        <x:v>Good Deal</x:v>
      </x:c>
      <x:c r="P54" s="129" t="str">
        <x:v>11th Generation</x:v>
      </x:c>
      <x:c r="Q54" s="144" t="str"/>
      <x:c r="R54" s="129" t="str">
        <x:v>Accord Hybrid</x:v>
      </x:c>
      <x:c r="S54" s="129" t="str">
        <x:v>Mainstream Midsize</x:v>
      </x:c>
      <x:c r="T54" s="147" t="n">
        <x:f>2026-G54</x:f>
        <x:v>1</x:v>
      </x:c>
      <x:c r="U54" s="150" t="n">
        <x:f>IF(T54&gt;0,I54/T54,"")</x:f>
        <x:v>53714</x:v>
      </x:c>
      <x:c r="V54" s="129" t="str">
        <x:v>Hybrid</x:v>
      </x:c>
      <x:c r="W54" s="129" t="str">
        <x:v>No</x:v>
      </x:c>
      <x:c r="X54" s="129" t="str">
        <x:v>Normal</x:v>
      </x:c>
      <x:c r="Y54" s="129" t="str">
        <x:f>IF(R54="AMG C43","No","Yes")</x:f>
        <x:v>Yes</x:v>
      </x:c>
      <x:c r="Z54" s="144" t="str">
        <x:f>IF(Y54="No","Excluded from final analysis: AMG performance model outside the predefined C300 candidate category.","")</x:f>
      </x:c>
    </x:row>
    <x:row r="55">
      <x:c r="A55" s="129" t="str">
        <x:v>ACCH_014</x:v>
      </x:c>
      <x:c r="B55" s="132" t="n">
        <x:v>46233</x:v>
      </x:c>
      <x:c r="C55" s="129" t="str">
        <x:v>Ottawa</x:v>
      </x:c>
      <x:c r="D55" s="129" t="str">
        <x:v>Honda</x:v>
      </x:c>
      <x:c r="E55" s="129" t="str">
        <x:v>Accord Hybrid</x:v>
      </x:c>
      <x:c r="F55" s="129" t="str">
        <x:v>Sport-L</x:v>
      </x:c>
      <x:c r="G55" s="135" t="n">
        <x:v>2025</x:v>
      </x:c>
      <x:c r="H55" s="138" t="n">
        <x:v>38034</x:v>
      </x:c>
      <x:c r="I55" s="141" t="n">
        <x:v>21551</x:v>
      </x:c>
      <x:c r="J55" s="129" t="str">
        <x:v>Sedan</x:v>
      </x:c>
      <x:c r="K55" s="129" t="str">
        <x:v>FWD</x:v>
      </x:c>
      <x:c r="L55" s="129" t="str">
        <x:v>2.0L I4 Hybrid</x:v>
      </x:c>
      <x:c r="M55" s="129" t="str">
        <x:v>Hybrid</x:v>
      </x:c>
      <x:c r="N55" s="129" t="str">
        <x:v>e-CVT</x:v>
      </x:c>
      <x:c r="O55" s="129" t="str">
        <x:v>Good Deal</x:v>
      </x:c>
      <x:c r="P55" s="129" t="str">
        <x:v>11th Generation</x:v>
      </x:c>
      <x:c r="Q55" s="144" t="str">
        <x:v>Includes $577 delivery; verify Sport-L Canadian-market status</x:v>
      </x:c>
      <x:c r="R55" s="129" t="str">
        <x:v>Accord Hybrid</x:v>
      </x:c>
      <x:c r="S55" s="129" t="str">
        <x:v>Mainstream Midsize</x:v>
      </x:c>
      <x:c r="T55" s="147" t="n">
        <x:f>2026-G55</x:f>
        <x:v>1</x:v>
      </x:c>
      <x:c r="U55" s="150" t="n">
        <x:f>IF(T55&gt;0,I55/T55,"")</x:f>
        <x:v>21551</x:v>
      </x:c>
      <x:c r="V55" s="129" t="str">
        <x:v>Hybrid</x:v>
      </x:c>
      <x:c r="W55" s="129" t="str">
        <x:v>No</x:v>
      </x:c>
      <x:c r="X55" s="129" t="str">
        <x:v>Normal</x:v>
      </x:c>
      <x:c r="Y55" s="129" t="str">
        <x:f>IF(R55="AMG C43","No","Yes")</x:f>
        <x:v>Yes</x:v>
      </x:c>
      <x:c r="Z55" s="144" t="str">
        <x:f>IF(Y55="No","Excluded from final analysis: AMG performance model outside the predefined C300 candidate category.","")</x:f>
      </x:c>
    </x:row>
    <x:row r="56">
      <x:c r="A56" s="129" t="str">
        <x:v>ACCH_015</x:v>
      </x:c>
      <x:c r="B56" s="132" t="n">
        <x:v>46233</x:v>
      </x:c>
      <x:c r="C56" s="129" t="str">
        <x:v>Whitby</x:v>
      </x:c>
      <x:c r="D56" s="129" t="str">
        <x:v>Honda</x:v>
      </x:c>
      <x:c r="E56" s="129" t="str">
        <x:v>Accord Hybrid</x:v>
      </x:c>
      <x:c r="F56" s="129" t="str">
        <x:v>Touring</x:v>
      </x:c>
      <x:c r="G56" s="135" t="n">
        <x:v>2025</x:v>
      </x:c>
      <x:c r="H56" s="138" t="n">
        <x:v>42900</x:v>
      </x:c>
      <x:c r="I56" s="141" t="n">
        <x:v>8827</x:v>
      </x:c>
      <x:c r="J56" s="129" t="str">
        <x:v>Sedan</x:v>
      </x:c>
      <x:c r="K56" s="129" t="str">
        <x:v>FWD</x:v>
      </x:c>
      <x:c r="L56" s="129" t="str">
        <x:v>2.0L I4 Hybrid</x:v>
      </x:c>
      <x:c r="M56" s="129" t="str">
        <x:v>Hybrid</x:v>
      </x:c>
      <x:c r="N56" s="129" t="str">
        <x:v>e-CVT</x:v>
      </x:c>
      <x:c r="O56" s="129" t="str">
        <x:v>Fair Deal</x:v>
      </x:c>
      <x:c r="P56" s="129" t="str">
        <x:v>11th Generation</x:v>
      </x:c>
      <x:c r="Q56" s="144" t="str"/>
      <x:c r="R56" s="129" t="str">
        <x:v>Accord Hybrid</x:v>
      </x:c>
      <x:c r="S56" s="129" t="str">
        <x:v>Mainstream Midsize</x:v>
      </x:c>
      <x:c r="T56" s="147" t="n">
        <x:f>2026-G56</x:f>
        <x:v>1</x:v>
      </x:c>
      <x:c r="U56" s="150" t="n">
        <x:f>IF(T56&gt;0,I56/T56,"")</x:f>
        <x:v>8827</x:v>
      </x:c>
      <x:c r="V56" s="129" t="str">
        <x:v>Hybrid</x:v>
      </x:c>
      <x:c r="W56" s="129" t="str">
        <x:v>No</x:v>
      </x:c>
      <x:c r="X56" s="129" t="str">
        <x:v>Normal</x:v>
      </x:c>
      <x:c r="Y56" s="129" t="str">
        <x:f>IF(R56="AMG C43","No","Yes")</x:f>
        <x:v>Yes</x:v>
      </x:c>
      <x:c r="Z56" s="144" t="str">
        <x:f>IF(Y56="No","Excluded from final analysis: AMG performance model outside the predefined C300 candidate category.","")</x:f>
      </x:c>
    </x:row>
    <x:row r="57">
      <x:c r="A57" s="129" t="str">
        <x:v>ACCH_016</x:v>
      </x:c>
      <x:c r="B57" s="132" t="n">
        <x:v>46233</x:v>
      </x:c>
      <x:c r="C57" s="129" t="str">
        <x:v>Whitby</x:v>
      </x:c>
      <x:c r="D57" s="129" t="str">
        <x:v>Honda</x:v>
      </x:c>
      <x:c r="E57" s="129" t="str">
        <x:v>Accord Hybrid</x:v>
      </x:c>
      <x:c r="F57" s="129" t="str">
        <x:v>Touring</x:v>
      </x:c>
      <x:c r="G57" s="135" t="n">
        <x:v>2025</x:v>
      </x:c>
      <x:c r="H57" s="138" t="n">
        <x:v>42200</x:v>
      </x:c>
      <x:c r="I57" s="141" t="n">
        <x:v>16745</x:v>
      </x:c>
      <x:c r="J57" s="129" t="str">
        <x:v>Sedan</x:v>
      </x:c>
      <x:c r="K57" s="129" t="str">
        <x:v>FWD</x:v>
      </x:c>
      <x:c r="L57" s="129" t="str">
        <x:v>2.0L I4 Hybrid</x:v>
      </x:c>
      <x:c r="M57" s="129" t="str">
        <x:v>Hybrid</x:v>
      </x:c>
      <x:c r="N57" s="129" t="str">
        <x:v>e-CVT</x:v>
      </x:c>
      <x:c r="O57" s="129" t="str">
        <x:v>Fair Deal</x:v>
      </x:c>
      <x:c r="P57" s="129" t="str">
        <x:v>11th Generation</x:v>
      </x:c>
      <x:c r="Q57" s="144" t="str"/>
      <x:c r="R57" s="129" t="str">
        <x:v>Accord Hybrid</x:v>
      </x:c>
      <x:c r="S57" s="129" t="str">
        <x:v>Mainstream Midsize</x:v>
      </x:c>
      <x:c r="T57" s="147" t="n">
        <x:f>2026-G57</x:f>
        <x:v>1</x:v>
      </x:c>
      <x:c r="U57" s="150" t="n">
        <x:f>IF(T57&gt;0,I57/T57,"")</x:f>
        <x:v>16745</x:v>
      </x:c>
      <x:c r="V57" s="129" t="str">
        <x:v>Hybrid</x:v>
      </x:c>
      <x:c r="W57" s="129" t="str">
        <x:v>No</x:v>
      </x:c>
      <x:c r="X57" s="129" t="str">
        <x:v>Normal</x:v>
      </x:c>
      <x:c r="Y57" s="129" t="str">
        <x:f>IF(R57="AMG C43","No","Yes")</x:f>
        <x:v>Yes</x:v>
      </x:c>
      <x:c r="Z57" s="144" t="str">
        <x:f>IF(Y57="No","Excluded from final analysis: AMG performance model outside the predefined C300 candidate category.","")</x:f>
      </x:c>
    </x:row>
    <x:row r="58">
      <x:c r="A58" s="129" t="str">
        <x:v>ACCH_017</x:v>
      </x:c>
      <x:c r="B58" s="132" t="n">
        <x:v>46233</x:v>
      </x:c>
      <x:c r="C58" s="129" t="str">
        <x:v>Toronto</x:v>
      </x:c>
      <x:c r="D58" s="129" t="str">
        <x:v>Honda</x:v>
      </x:c>
      <x:c r="E58" s="129" t="str">
        <x:v>Accord Hybrid</x:v>
      </x:c>
      <x:c r="F58" s="129" t="str">
        <x:v>Sport</x:v>
      </x:c>
      <x:c r="G58" s="135" t="n">
        <x:v>2024</x:v>
      </x:c>
      <x:c r="H58" s="138" t="n">
        <x:v>29700</x:v>
      </x:c>
      <x:c r="I58" s="141" t="n">
        <x:v>105561</x:v>
      </x:c>
      <x:c r="J58" s="129" t="str">
        <x:v>Sedan</x:v>
      </x:c>
      <x:c r="K58" s="129" t="str">
        <x:v>FWD</x:v>
      </x:c>
      <x:c r="L58" s="129" t="str">
        <x:v>2.0L I4 Hybrid</x:v>
      </x:c>
      <x:c r="M58" s="129" t="str">
        <x:v>Hybrid</x:v>
      </x:c>
      <x:c r="N58" s="129" t="str">
        <x:v>e-CVT</x:v>
      </x:c>
      <x:c r="O58" s="129" t="str">
        <x:v>Fair Deal</x:v>
      </x:c>
      <x:c r="P58" s="129" t="str">
        <x:v>11th Generation</x:v>
      </x:c>
      <x:c r="Q58" s="144" t="str">
        <x:v>High mileage</x:v>
      </x:c>
      <x:c r="R58" s="129" t="str">
        <x:v>Accord Hybrid</x:v>
      </x:c>
      <x:c r="S58" s="129" t="str">
        <x:v>Mainstream Midsize</x:v>
      </x:c>
      <x:c r="T58" s="147" t="n">
        <x:f>2026-G58</x:f>
        <x:v>2</x:v>
      </x:c>
      <x:c r="U58" s="150" t="n">
        <x:f>IF(T58&gt;0,I58/T58,"")</x:f>
        <x:v>52780.5</x:v>
      </x:c>
      <x:c r="V58" s="129" t="str">
        <x:v>Hybrid</x:v>
      </x:c>
      <x:c r="W58" s="129" t="str">
        <x:v>No</x:v>
      </x:c>
      <x:c r="X58" s="129" t="str">
        <x:v>Normal</x:v>
      </x:c>
      <x:c r="Y58" s="129" t="str">
        <x:f>IF(R58="AMG C43","No","Yes")</x:f>
        <x:v>Yes</x:v>
      </x:c>
      <x:c r="Z58" s="144" t="str">
        <x:f>IF(Y58="No","Excluded from final analysis: AMG performance model outside the predefined C300 candidate category.","")</x:f>
      </x:c>
    </x:row>
    <x:row r="59">
      <x:c r="A59" s="129" t="str">
        <x:v>ACCH_018</x:v>
      </x:c>
      <x:c r="B59" s="132" t="n">
        <x:v>46233</x:v>
      </x:c>
      <x:c r="C59" s="129" t="str">
        <x:v>Scarborough</x:v>
      </x:c>
      <x:c r="D59" s="129" t="str">
        <x:v>Honda</x:v>
      </x:c>
      <x:c r="E59" s="129" t="str">
        <x:v>Accord Hybrid</x:v>
      </x:c>
      <x:c r="F59" s="129" t="str">
        <x:v>Touring</x:v>
      </x:c>
      <x:c r="G59" s="135" t="n">
        <x:v>2023</x:v>
      </x:c>
      <x:c r="H59" s="138" t="n">
        <x:v>33895</x:v>
      </x:c>
      <x:c r="I59" s="141" t="n">
        <x:v>82763</x:v>
      </x:c>
      <x:c r="J59" s="129" t="str">
        <x:v>Sedan</x:v>
      </x:c>
      <x:c r="K59" s="129" t="str">
        <x:v>FWD</x:v>
      </x:c>
      <x:c r="L59" s="129" t="str">
        <x:v>2.0L I4 Hybrid</x:v>
      </x:c>
      <x:c r="M59" s="129" t="str">
        <x:v>Hybrid</x:v>
      </x:c>
      <x:c r="N59" s="129" t="str">
        <x:v>e-CVT</x:v>
      </x:c>
      <x:c r="O59" s="129" t="str">
        <x:v>Fair Deal</x:v>
      </x:c>
      <x:c r="P59" s="129" t="str">
        <x:v>11th Generation</x:v>
      </x:c>
      <x:c r="Q59" s="144" t="str"/>
      <x:c r="R59" s="129" t="str">
        <x:v>Accord Hybrid</x:v>
      </x:c>
      <x:c r="S59" s="129" t="str">
        <x:v>Mainstream Midsize</x:v>
      </x:c>
      <x:c r="T59" s="147" t="n">
        <x:f>2026-G59</x:f>
        <x:v>3</x:v>
      </x:c>
      <x:c r="U59" s="150" t="n">
        <x:f>IF(T59&gt;0,I59/T59,"")</x:f>
        <x:v>27587.666666666668</x:v>
      </x:c>
      <x:c r="V59" s="129" t="str">
        <x:v>Hybrid</x:v>
      </x:c>
      <x:c r="W59" s="129" t="str">
        <x:v>No</x:v>
      </x:c>
      <x:c r="X59" s="129" t="str">
        <x:v>Normal</x:v>
      </x:c>
      <x:c r="Y59" s="129" t="str">
        <x:f>IF(R59="AMG C43","No","Yes")</x:f>
        <x:v>Yes</x:v>
      </x:c>
      <x:c r="Z59" s="144" t="str">
        <x:f>IF(Y59="No","Excluded from final analysis: AMG performance model outside the predefined C300 candidate category.","")</x:f>
      </x:c>
    </x:row>
    <x:row r="60">
      <x:c r="A60" s="129" t="str">
        <x:v>ACCH_019</x:v>
      </x:c>
      <x:c r="B60" s="132" t="n">
        <x:v>46233</x:v>
      </x:c>
      <x:c r="C60" s="129" t="str">
        <x:v>Toronto</x:v>
      </x:c>
      <x:c r="D60" s="129" t="str">
        <x:v>Honda</x:v>
      </x:c>
      <x:c r="E60" s="129" t="str">
        <x:v>Accord Hybrid</x:v>
      </x:c>
      <x:c r="F60" s="129" t="str">
        <x:v>Touring</x:v>
      </x:c>
      <x:c r="G60" s="135" t="n">
        <x:v>2025</x:v>
      </x:c>
      <x:c r="H60" s="138" t="n">
        <x:v>41900</x:v>
      </x:c>
      <x:c r="I60" s="141" t="n">
        <x:v>7841</x:v>
      </x:c>
      <x:c r="J60" s="129" t="str">
        <x:v>Sedan</x:v>
      </x:c>
      <x:c r="K60" s="129" t="str">
        <x:v>FWD</x:v>
      </x:c>
      <x:c r="L60" s="129" t="str">
        <x:v>2.0L I4 Hybrid</x:v>
      </x:c>
      <x:c r="M60" s="129" t="str">
        <x:v>Hybrid</x:v>
      </x:c>
      <x:c r="N60" s="129" t="str">
        <x:v>e-CVT</x:v>
      </x:c>
      <x:c r="O60" s="129" t="str">
        <x:v>Fair Deal</x:v>
      </x:c>
      <x:c r="P60" s="129" t="str">
        <x:v>11th Generation</x:v>
      </x:c>
      <x:c r="Q60" s="144" t="str"/>
      <x:c r="R60" s="129" t="str">
        <x:v>Accord Hybrid</x:v>
      </x:c>
      <x:c r="S60" s="129" t="str">
        <x:v>Mainstream Midsize</x:v>
      </x:c>
      <x:c r="T60" s="147" t="n">
        <x:f>2026-G60</x:f>
        <x:v>1</x:v>
      </x:c>
      <x:c r="U60" s="150" t="n">
        <x:f>IF(T60&gt;0,I60/T60,"")</x:f>
        <x:v>7841</x:v>
      </x:c>
      <x:c r="V60" s="129" t="str">
        <x:v>Hybrid</x:v>
      </x:c>
      <x:c r="W60" s="129" t="str">
        <x:v>No</x:v>
      </x:c>
      <x:c r="X60" s="129" t="str">
        <x:v>Normal</x:v>
      </x:c>
      <x:c r="Y60" s="129" t="str">
        <x:f>IF(R60="AMG C43","No","Yes")</x:f>
        <x:v>Yes</x:v>
      </x:c>
      <x:c r="Z60" s="144" t="str">
        <x:f>IF(Y60="No","Excluded from final analysis: AMG performance model outside the predefined C300 candidate category.","")</x:f>
      </x:c>
    </x:row>
    <x:row r="61">
      <x:c r="A61" s="129" t="str">
        <x:v>ACCH_020</x:v>
      </x:c>
      <x:c r="B61" s="132" t="n">
        <x:v>46233</x:v>
      </x:c>
      <x:c r="C61" s="129" t="str">
        <x:v>Toronto</x:v>
      </x:c>
      <x:c r="D61" s="129" t="str">
        <x:v>Honda</x:v>
      </x:c>
      <x:c r="E61" s="129" t="str">
        <x:v>Accord Hybrid</x:v>
      </x:c>
      <x:c r="F61" s="129" t="str">
        <x:v>Touring</x:v>
      </x:c>
      <x:c r="G61" s="135" t="n">
        <x:v>2025</x:v>
      </x:c>
      <x:c r="H61" s="138" t="n">
        <x:v>36000</x:v>
      </x:c>
      <x:c r="I61" s="141" t="n">
        <x:v>115138</x:v>
      </x:c>
      <x:c r="J61" s="129" t="str">
        <x:v>Sedan</x:v>
      </x:c>
      <x:c r="K61" s="129" t="str">
        <x:v>FWD</x:v>
      </x:c>
      <x:c r="L61" s="129" t="str">
        <x:v>2.0L I4 Hybrid</x:v>
      </x:c>
      <x:c r="M61" s="129" t="str">
        <x:v>Hybrid</x:v>
      </x:c>
      <x:c r="N61" s="129" t="str">
        <x:v>e-CVT</x:v>
      </x:c>
      <x:c r="O61" s="129" t="str">
        <x:v>Fair Deal</x:v>
      </x:c>
      <x:c r="P61" s="129" t="str">
        <x:v>11th Generation</x:v>
      </x:c>
      <x:c r="Q61" s="144" t="str">
        <x:v>High mileage</x:v>
      </x:c>
      <x:c r="R61" s="129" t="str">
        <x:v>Accord Hybrid</x:v>
      </x:c>
      <x:c r="S61" s="129" t="str">
        <x:v>Mainstream Midsize</x:v>
      </x:c>
      <x:c r="T61" s="147" t="n">
        <x:f>2026-G61</x:f>
        <x:v>1</x:v>
      </x:c>
      <x:c r="U61" s="150" t="n">
        <x:f>IF(T61&gt;0,I61/T61,"")</x:f>
        <x:v>115138</x:v>
      </x:c>
      <x:c r="V61" s="129" t="str">
        <x:v>Hybrid</x:v>
      </x:c>
      <x:c r="W61" s="129" t="str">
        <x:v>No</x:v>
      </x:c>
      <x:c r="X61" s="129" t="str">
        <x:v>Normal</x:v>
      </x:c>
      <x:c r="Y61" s="129" t="str">
        <x:f>IF(R61="AMG C43","No","Yes")</x:f>
        <x:v>Yes</x:v>
      </x:c>
      <x:c r="Z61" s="144" t="str">
        <x:f>IF(Y61="No","Excluded from final analysis: AMG performance model outside the predefined C300 candidate category.","")</x:f>
      </x:c>
    </x:row>
    <x:row r="62">
      <x:c r="A62" s="129" t="str">
        <x:v>ACCH_021</x:v>
      </x:c>
      <x:c r="B62" s="132" t="n">
        <x:v>46233</x:v>
      </x:c>
      <x:c r="C62" s="129" t="str">
        <x:v>Whitby</x:v>
      </x:c>
      <x:c r="D62" s="129" t="str">
        <x:v>Honda</x:v>
      </x:c>
      <x:c r="E62" s="129" t="str">
        <x:v>Accord Hybrid</x:v>
      </x:c>
      <x:c r="F62" s="129" t="str">
        <x:v>Touring</x:v>
      </x:c>
      <x:c r="G62" s="135" t="n">
        <x:v>2025</x:v>
      </x:c>
      <x:c r="H62" s="138" t="n">
        <x:v>40900</x:v>
      </x:c>
      <x:c r="I62" s="141" t="n">
        <x:v>26611</x:v>
      </x:c>
      <x:c r="J62" s="129" t="str">
        <x:v>Sedan</x:v>
      </x:c>
      <x:c r="K62" s="129" t="str">
        <x:v>FWD</x:v>
      </x:c>
      <x:c r="L62" s="129" t="str">
        <x:v>2.0L I4 Hybrid</x:v>
      </x:c>
      <x:c r="M62" s="129" t="str">
        <x:v>Hybrid</x:v>
      </x:c>
      <x:c r="N62" s="129" t="str">
        <x:v>e-CVT</x:v>
      </x:c>
      <x:c r="O62" s="129" t="str">
        <x:v>Fair Deal</x:v>
      </x:c>
      <x:c r="P62" s="129" t="str">
        <x:v>11th Generation</x:v>
      </x:c>
      <x:c r="Q62" s="144" t="str"/>
      <x:c r="R62" s="129" t="str">
        <x:v>Accord Hybrid</x:v>
      </x:c>
      <x:c r="S62" s="129" t="str">
        <x:v>Mainstream Midsize</x:v>
      </x:c>
      <x:c r="T62" s="147" t="n">
        <x:f>2026-G62</x:f>
        <x:v>1</x:v>
      </x:c>
      <x:c r="U62" s="150" t="n">
        <x:f>IF(T62&gt;0,I62/T62,"")</x:f>
        <x:v>26611</x:v>
      </x:c>
      <x:c r="V62" s="129" t="str">
        <x:v>Hybrid</x:v>
      </x:c>
      <x:c r="W62" s="129" t="str">
        <x:v>No</x:v>
      </x:c>
      <x:c r="X62" s="129" t="str">
        <x:v>Normal</x:v>
      </x:c>
      <x:c r="Y62" s="129" t="str">
        <x:f>IF(R62="AMG C43","No","Yes")</x:f>
        <x:v>Yes</x:v>
      </x:c>
      <x:c r="Z62" s="144" t="str">
        <x:f>IF(Y62="No","Excluded from final analysis: AMG performance model outside the predefined C300 candidate category.","")</x:f>
      </x:c>
    </x:row>
    <x:row r="63">
      <x:c r="A63" s="129" t="str">
        <x:v>ACCH_022</x:v>
      </x:c>
      <x:c r="B63" s="132" t="n">
        <x:v>46233</x:v>
      </x:c>
      <x:c r="C63" s="129" t="str">
        <x:v>Whitby</x:v>
      </x:c>
      <x:c r="D63" s="129" t="str">
        <x:v>Honda</x:v>
      </x:c>
      <x:c r="E63" s="129" t="str">
        <x:v>Accord Hybrid</x:v>
      </x:c>
      <x:c r="F63" s="129" t="str">
        <x:v>Touring</x:v>
      </x:c>
      <x:c r="G63" s="135" t="n">
        <x:v>2024</x:v>
      </x:c>
      <x:c r="H63" s="138" t="n">
        <x:v>37200</x:v>
      </x:c>
      <x:c r="I63" s="141" t="n">
        <x:v>43286</x:v>
      </x:c>
      <x:c r="J63" s="129" t="str">
        <x:v>Sedan</x:v>
      </x:c>
      <x:c r="K63" s="129" t="str">
        <x:v>FWD</x:v>
      </x:c>
      <x:c r="L63" s="129" t="str">
        <x:v>2.0L I4 Hybrid</x:v>
      </x:c>
      <x:c r="M63" s="129" t="str">
        <x:v>Hybrid</x:v>
      </x:c>
      <x:c r="N63" s="129" t="str">
        <x:v>e-CVT</x:v>
      </x:c>
      <x:c r="O63" s="129" t="str">
        <x:v>Fair Deal</x:v>
      </x:c>
      <x:c r="P63" s="129" t="str">
        <x:v>11th Generation</x:v>
      </x:c>
      <x:c r="Q63" s="144" t="str"/>
      <x:c r="R63" s="129" t="str">
        <x:v>Accord Hybrid</x:v>
      </x:c>
      <x:c r="S63" s="129" t="str">
        <x:v>Mainstream Midsize</x:v>
      </x:c>
      <x:c r="T63" s="147" t="n">
        <x:f>2026-G63</x:f>
        <x:v>2</x:v>
      </x:c>
      <x:c r="U63" s="150" t="n">
        <x:f>IF(T63&gt;0,I63/T63,"")</x:f>
        <x:v>21643</x:v>
      </x:c>
      <x:c r="V63" s="129" t="str">
        <x:v>Hybrid</x:v>
      </x:c>
      <x:c r="W63" s="129" t="str">
        <x:v>No</x:v>
      </x:c>
      <x:c r="X63" s="129" t="str">
        <x:v>Normal</x:v>
      </x:c>
      <x:c r="Y63" s="129" t="str">
        <x:f>IF(R63="AMG C43","No","Yes")</x:f>
        <x:v>Yes</x:v>
      </x:c>
      <x:c r="Z63" s="144" t="str">
        <x:f>IF(Y63="No","Excluded from final analysis: AMG performance model outside the predefined C300 candidate category.","")</x:f>
      </x:c>
    </x:row>
    <x:row r="64">
      <x:c r="A64" s="129" t="str">
        <x:v>ACCH_023</x:v>
      </x:c>
      <x:c r="B64" s="132" t="n">
        <x:v>46233</x:v>
      </x:c>
      <x:c r="C64" s="129" t="str">
        <x:v>Lindsay</x:v>
      </x:c>
      <x:c r="D64" s="129" t="str">
        <x:v>Honda</x:v>
      </x:c>
      <x:c r="E64" s="129" t="str">
        <x:v>Accord Hybrid</x:v>
      </x:c>
      <x:c r="F64" s="129" t="str">
        <x:v>Touring</x:v>
      </x:c>
      <x:c r="G64" s="135" t="n">
        <x:v>2023</x:v>
      </x:c>
      <x:c r="H64" s="138" t="n">
        <x:v>35990</x:v>
      </x:c>
      <x:c r="I64" s="141" t="n">
        <x:v>32235</x:v>
      </x:c>
      <x:c r="J64" s="129" t="str">
        <x:v>Sedan</x:v>
      </x:c>
      <x:c r="K64" s="129" t="str">
        <x:v>FWD</x:v>
      </x:c>
      <x:c r="L64" s="129" t="str">
        <x:v>2.0L I4 Hybrid</x:v>
      </x:c>
      <x:c r="M64" s="129" t="str">
        <x:v>Hybrid</x:v>
      </x:c>
      <x:c r="N64" s="129" t="str">
        <x:v>e-CVT</x:v>
      </x:c>
      <x:c r="O64" s="129" t="str">
        <x:v>Fair Deal</x:v>
      </x:c>
      <x:c r="P64" s="129" t="str">
        <x:v>11th Generation</x:v>
      </x:c>
      <x:c r="Q64" s="144" t="str"/>
      <x:c r="R64" s="129" t="str">
        <x:v>Accord Hybrid</x:v>
      </x:c>
      <x:c r="S64" s="129" t="str">
        <x:v>Mainstream Midsize</x:v>
      </x:c>
      <x:c r="T64" s="147" t="n">
        <x:f>2026-G64</x:f>
        <x:v>3</x:v>
      </x:c>
      <x:c r="U64" s="150" t="n">
        <x:f>IF(T64&gt;0,I64/T64,"")</x:f>
        <x:v>10745</x:v>
      </x:c>
      <x:c r="V64" s="129" t="str">
        <x:v>Hybrid</x:v>
      </x:c>
      <x:c r="W64" s="129" t="str">
        <x:v>No</x:v>
      </x:c>
      <x:c r="X64" s="129" t="str">
        <x:v>Normal</x:v>
      </x:c>
      <x:c r="Y64" s="129" t="str">
        <x:f>IF(R64="AMG C43","No","Yes")</x:f>
        <x:v>Yes</x:v>
      </x:c>
      <x:c r="Z64" s="144" t="str">
        <x:f>IF(Y64="No","Excluded from final analysis: AMG performance model outside the predefined C300 candidate category.","")</x:f>
      </x:c>
    </x:row>
    <x:row r="65">
      <x:c r="A65" s="129" t="str">
        <x:v>ACCH_024</x:v>
      </x:c>
      <x:c r="B65" s="132" t="n">
        <x:v>46233</x:v>
      </x:c>
      <x:c r="C65" s="129" t="str">
        <x:v>Scarborough</x:v>
      </x:c>
      <x:c r="D65" s="129" t="str">
        <x:v>Honda</x:v>
      </x:c>
      <x:c r="E65" s="129" t="str">
        <x:v>Accord Hybrid</x:v>
      </x:c>
      <x:c r="F65" s="129" t="str">
        <x:v>Touring</x:v>
      </x:c>
      <x:c r="G65" s="135" t="n">
        <x:v>2024</x:v>
      </x:c>
      <x:c r="H65" s="138" t="n">
        <x:v>38290</x:v>
      </x:c>
      <x:c r="I65" s="141" t="n">
        <x:v>23803</x:v>
      </x:c>
      <x:c r="J65" s="129" t="str">
        <x:v>Sedan</x:v>
      </x:c>
      <x:c r="K65" s="129" t="str">
        <x:v>FWD</x:v>
      </x:c>
      <x:c r="L65" s="129" t="str">
        <x:v>2.0L I4 Hybrid</x:v>
      </x:c>
      <x:c r="M65" s="129" t="str">
        <x:v>Hybrid</x:v>
      </x:c>
      <x:c r="N65" s="129" t="str">
        <x:v>e-CVT</x:v>
      </x:c>
      <x:c r="O65" s="129" t="str">
        <x:v>Fair Deal</x:v>
      </x:c>
      <x:c r="P65" s="129" t="str">
        <x:v>11th Generation</x:v>
      </x:c>
      <x:c r="Q65" s="144" t="str">
        <x:v>Certified Pre-Owned</x:v>
      </x:c>
      <x:c r="R65" s="129" t="str">
        <x:v>Accord Hybrid</x:v>
      </x:c>
      <x:c r="S65" s="129" t="str">
        <x:v>Mainstream Midsize</x:v>
      </x:c>
      <x:c r="T65" s="147" t="n">
        <x:f>2026-G65</x:f>
        <x:v>2</x:v>
      </x:c>
      <x:c r="U65" s="150" t="n">
        <x:f>IF(T65&gt;0,I65/T65,"")</x:f>
        <x:v>11901.5</x:v>
      </x:c>
      <x:c r="V65" s="129" t="str">
        <x:v>Hybrid</x:v>
      </x:c>
      <x:c r="W65" s="129" t="str">
        <x:v>No</x:v>
      </x:c>
      <x:c r="X65" s="129" t="str">
        <x:v>Normal</x:v>
      </x:c>
      <x:c r="Y65" s="129" t="str">
        <x:f>IF(R65="AMG C43","No","Yes")</x:f>
        <x:v>Yes</x:v>
      </x:c>
      <x:c r="Z65" s="144" t="str">
        <x:f>IF(Y65="No","Excluded from final analysis: AMG performance model outside the predefined C300 candidate category.","")</x:f>
      </x:c>
    </x:row>
    <x:row r="66">
      <x:c r="A66" s="129" t="str">
        <x:v>SONA_001</x:v>
      </x:c>
      <x:c r="B66" s="132" t="n">
        <x:v>46233</x:v>
      </x:c>
      <x:c r="C66" s="129" t="str">
        <x:v>Not recorded</x:v>
      </x:c>
      <x:c r="D66" s="129" t="str">
        <x:v>Hyundai</x:v>
      </x:c>
      <x:c r="E66" s="129" t="str">
        <x:v>Sonata</x:v>
      </x:c>
      <x:c r="F66" s="129" t="str">
        <x:v>Preferred Trend</x:v>
      </x:c>
      <x:c r="G66" s="135" t="n">
        <x:v>2025</x:v>
      </x:c>
      <x:c r="H66" s="138" t="n">
        <x:v>24990</x:v>
      </x:c>
      <x:c r="I66" s="141" t="n">
        <x:v>35815</x:v>
      </x:c>
      <x:c r="J66" s="129" t="str">
        <x:v>Sedan</x:v>
      </x:c>
      <x:c r="K66" s="129" t="str">
        <x:v>FWD</x:v>
      </x:c>
      <x:c r="L66" s="129" t="str">
        <x:v>2.5L GDI + MPI I4</x:v>
      </x:c>
      <x:c r="M66" s="129" t="str">
        <x:v>Gasoline</x:v>
      </x:c>
      <x:c r="N66" s="129" t="str">
        <x:v>8-speed automatic</x:v>
      </x:c>
      <x:c r="O66" s="129" t="str">
        <x:v>Great Deal</x:v>
      </x:c>
      <x:c r="P66" s="129" t="str">
        <x:v>8th Generation Facelift</x:v>
      </x:c>
      <x:c r="Q66" s="144" t="str">
        <x:v>Price reduced by $800</x:v>
      </x:c>
      <x:c r="R66" s="129" t="str">
        <x:v>Sonata</x:v>
      </x:c>
      <x:c r="S66" s="129" t="str">
        <x:v>Mainstream Midsize</x:v>
      </x:c>
      <x:c r="T66" s="147" t="n">
        <x:f>2026-G66</x:f>
        <x:v>1</x:v>
      </x:c>
      <x:c r="U66" s="150" t="n">
        <x:f>IF(T66&gt;0,I66/T66,"")</x:f>
        <x:v>35815</x:v>
      </x:c>
      <x:c r="V66" s="129" t="str">
        <x:v>Regular Gasoline</x:v>
      </x:c>
      <x:c r="W66" s="129" t="str">
        <x:v>No</x:v>
      </x:c>
      <x:c r="X66" s="129" t="str">
        <x:v>Normal</x:v>
      </x:c>
      <x:c r="Y66" s="129" t="str">
        <x:f>IF(R66="AMG C43","No","Yes")</x:f>
        <x:v>Yes</x:v>
      </x:c>
      <x:c r="Z66" s="144" t="str">
        <x:f>IF(Y66="No","Excluded from final analysis: AMG performance model outside the predefined C300 candidate category.","")</x:f>
      </x:c>
    </x:row>
    <x:row r="67">
      <x:c r="A67" s="129" t="str">
        <x:v>SONA_002</x:v>
      </x:c>
      <x:c r="B67" s="132" t="n">
        <x:v>46233</x:v>
      </x:c>
      <x:c r="C67" s="129" t="str">
        <x:v>Mississauga</x:v>
      </x:c>
      <x:c r="D67" s="129" t="str">
        <x:v>Hyundai</x:v>
      </x:c>
      <x:c r="E67" s="129" t="str">
        <x:v>Sonata</x:v>
      </x:c>
      <x:c r="F67" s="129" t="str">
        <x:v>Preferred Trend</x:v>
      </x:c>
      <x:c r="G67" s="135" t="n">
        <x:v>2025</x:v>
      </x:c>
      <x:c r="H67" s="138" t="n">
        <x:v>27995</x:v>
      </x:c>
      <x:c r="I67" s="141" t="n">
        <x:v>41030</x:v>
      </x:c>
      <x:c r="J67" s="129" t="str">
        <x:v>Sedan</x:v>
      </x:c>
      <x:c r="K67" s="129" t="str">
        <x:v>FWD</x:v>
      </x:c>
      <x:c r="L67" s="129" t="str">
        <x:v>2.5L GDI + MPI I4</x:v>
      </x:c>
      <x:c r="M67" s="129" t="str">
        <x:v>Gasoline</x:v>
      </x:c>
      <x:c r="N67" s="129" t="str">
        <x:v>8-speed automatic</x:v>
      </x:c>
      <x:c r="O67" s="129" t="str">
        <x:v>Good Deal</x:v>
      </x:c>
      <x:c r="P67" s="129" t="str">
        <x:v>8th Generation Facelift</x:v>
      </x:c>
      <x:c r="Q67" s="144" t="str">
        <x:v>Price reduced by $1,000</x:v>
      </x:c>
      <x:c r="R67" s="129" t="str">
        <x:v>Sonata</x:v>
      </x:c>
      <x:c r="S67" s="129" t="str">
        <x:v>Mainstream Midsize</x:v>
      </x:c>
      <x:c r="T67" s="147" t="n">
        <x:f>2026-G67</x:f>
        <x:v>1</x:v>
      </x:c>
      <x:c r="U67" s="150" t="n">
        <x:f>IF(T67&gt;0,I67/T67,"")</x:f>
        <x:v>41030</x:v>
      </x:c>
      <x:c r="V67" s="129" t="str">
        <x:v>Regular Gasoline</x:v>
      </x:c>
      <x:c r="W67" s="129" t="str">
        <x:v>No</x:v>
      </x:c>
      <x:c r="X67" s="129" t="str">
        <x:v>Normal</x:v>
      </x:c>
      <x:c r="Y67" s="129" t="str">
        <x:f>IF(R67="AMG C43","No","Yes")</x:f>
        <x:v>Yes</x:v>
      </x:c>
      <x:c r="Z67" s="144" t="str">
        <x:f>IF(Y67="No","Excluded from final analysis: AMG performance model outside the predefined C300 candidate category.","")</x:f>
      </x:c>
    </x:row>
    <x:row r="68">
      <x:c r="A68" s="129" t="str">
        <x:v>SONA_003</x:v>
      </x:c>
      <x:c r="B68" s="132" t="n">
        <x:v>46233</x:v>
      </x:c>
      <x:c r="C68" s="129" t="str">
        <x:v>North York</x:v>
      </x:c>
      <x:c r="D68" s="129" t="str">
        <x:v>Hyundai</x:v>
      </x:c>
      <x:c r="E68" s="129" t="str">
        <x:v>Sonata</x:v>
      </x:c>
      <x:c r="F68" s="129" t="str">
        <x:v>Preferred Trend</x:v>
      </x:c>
      <x:c r="G68" s="135" t="n">
        <x:v>2024</x:v>
      </x:c>
      <x:c r="H68" s="138" t="n">
        <x:v>27450</x:v>
      </x:c>
      <x:c r="I68" s="141" t="n">
        <x:v>52000</x:v>
      </x:c>
      <x:c r="J68" s="129" t="str">
        <x:v>Sedan</x:v>
      </x:c>
      <x:c r="K68" s="129" t="str">
        <x:v>FWD</x:v>
      </x:c>
      <x:c r="L68" s="129" t="str">
        <x:v>2.5L GDI + MPI I4</x:v>
      </x:c>
      <x:c r="M68" s="129" t="str">
        <x:v>Gasoline</x:v>
      </x:c>
      <x:c r="N68" s="129" t="str">
        <x:v>8-speed automatic</x:v>
      </x:c>
      <x:c r="O68" s="129" t="str">
        <x:v>Fair Deal</x:v>
      </x:c>
      <x:c r="P68" s="129" t="str">
        <x:v>8th Generation Facelift</x:v>
      </x:c>
      <x:c r="Q68" s="144" t="str"/>
      <x:c r="R68" s="129" t="str">
        <x:v>Sonata</x:v>
      </x:c>
      <x:c r="S68" s="129" t="str">
        <x:v>Mainstream Midsize</x:v>
      </x:c>
      <x:c r="T68" s="147" t="n">
        <x:f>2026-G68</x:f>
        <x:v>2</x:v>
      </x:c>
      <x:c r="U68" s="150" t="n">
        <x:f>IF(T68&gt;0,I68/T68,"")</x:f>
        <x:v>26000</x:v>
      </x:c>
      <x:c r="V68" s="129" t="str">
        <x:v>Regular Gasoline</x:v>
      </x:c>
      <x:c r="W68" s="129" t="str">
        <x:v>No</x:v>
      </x:c>
      <x:c r="X68" s="129" t="str">
        <x:v>Normal</x:v>
      </x:c>
      <x:c r="Y68" s="129" t="str">
        <x:f>IF(R68="AMG C43","No","Yes")</x:f>
        <x:v>Yes</x:v>
      </x:c>
      <x:c r="Z68" s="144" t="str">
        <x:f>IF(Y68="No","Excluded from final analysis: AMG performance model outside the predefined C300 candidate category.","")</x:f>
      </x:c>
    </x:row>
    <x:row r="69">
      <x:c r="A69" s="129" t="str">
        <x:v>SONA_004</x:v>
      </x:c>
      <x:c r="B69" s="132" t="n">
        <x:v>46233</x:v>
      </x:c>
      <x:c r="C69" s="129" t="str">
        <x:v>Etobicoke</x:v>
      </x:c>
      <x:c r="D69" s="129" t="str">
        <x:v>Hyundai</x:v>
      </x:c>
      <x:c r="E69" s="129" t="str">
        <x:v>Sonata</x:v>
      </x:c>
      <x:c r="F69" s="129" t="str">
        <x:v>Preferred Trend</x:v>
      </x:c>
      <x:c r="G69" s="135" t="n">
        <x:v>2025</x:v>
      </x:c>
      <x:c r="H69" s="138" t="n">
        <x:v>30500</x:v>
      </x:c>
      <x:c r="I69" s="141" t="n">
        <x:v>17164</x:v>
      </x:c>
      <x:c r="J69" s="129" t="str">
        <x:v>Sedan</x:v>
      </x:c>
      <x:c r="K69" s="129" t="str">
        <x:v>AWD</x:v>
      </x:c>
      <x:c r="L69" s="129" t="str">
        <x:v>2.5L GDI + MPI I4</x:v>
      </x:c>
      <x:c r="M69" s="129" t="str">
        <x:v>Gasoline</x:v>
      </x:c>
      <x:c r="N69" s="129" t="str">
        <x:v>8-speed automatic</x:v>
      </x:c>
      <x:c r="O69" s="129" t="str">
        <x:v>Good Deal</x:v>
      </x:c>
      <x:c r="P69" s="129" t="str">
        <x:v>8th Generation Facelift</x:v>
      </x:c>
      <x:c r="Q69" s="144" t="str">
        <x:v>Price reduced by $1,588</x:v>
      </x:c>
      <x:c r="R69" s="129" t="str">
        <x:v>Sonata</x:v>
      </x:c>
      <x:c r="S69" s="129" t="str">
        <x:v>Mainstream Midsize</x:v>
      </x:c>
      <x:c r="T69" s="147" t="n">
        <x:f>2026-G69</x:f>
        <x:v>1</x:v>
      </x:c>
      <x:c r="U69" s="150" t="n">
        <x:f>IF(T69&gt;0,I69/T69,"")</x:f>
        <x:v>17164</x:v>
      </x:c>
      <x:c r="V69" s="129" t="str">
        <x:v>Regular Gasoline</x:v>
      </x:c>
      <x:c r="W69" s="129" t="str">
        <x:v>No</x:v>
      </x:c>
      <x:c r="X69" s="129" t="str">
        <x:v>Normal</x:v>
      </x:c>
      <x:c r="Y69" s="129" t="str">
        <x:f>IF(R69="AMG C43","No","Yes")</x:f>
        <x:v>Yes</x:v>
      </x:c>
      <x:c r="Z69" s="144" t="str">
        <x:f>IF(Y69="No","Excluded from final analysis: AMG performance model outside the predefined C300 candidate category.","")</x:f>
      </x:c>
    </x:row>
    <x:row r="70">
      <x:c r="A70" s="129" t="str">
        <x:v>SONA_005</x:v>
      </x:c>
      <x:c r="B70" s="132" t="n">
        <x:v>46233</x:v>
      </x:c>
      <x:c r="C70" s="129" t="str">
        <x:v>Mississauga</x:v>
      </x:c>
      <x:c r="D70" s="129" t="str">
        <x:v>Hyundai</x:v>
      </x:c>
      <x:c r="E70" s="129" t="str">
        <x:v>Sonata</x:v>
      </x:c>
      <x:c r="F70" s="129" t="str">
        <x:v>Preferred Trend</x:v>
      </x:c>
      <x:c r="G70" s="135" t="n">
        <x:v>2025</x:v>
      </x:c>
      <x:c r="H70" s="138" t="n">
        <x:v>28995</x:v>
      </x:c>
      <x:c r="I70" s="141" t="n">
        <x:v>47328</x:v>
      </x:c>
      <x:c r="J70" s="129" t="str">
        <x:v>Sedan</x:v>
      </x:c>
      <x:c r="K70" s="129" t="str">
        <x:v>AWD</x:v>
      </x:c>
      <x:c r="L70" s="129" t="str">
        <x:v>2.5L GDI + MPI I4</x:v>
      </x:c>
      <x:c r="M70" s="129" t="str">
        <x:v>Gasoline</x:v>
      </x:c>
      <x:c r="N70" s="129" t="str">
        <x:v>8-speed automatic</x:v>
      </x:c>
      <x:c r="O70" s="129" t="str">
        <x:v>Good Deal</x:v>
      </x:c>
      <x:c r="P70" s="129" t="str">
        <x:v>8th Generation Facelift</x:v>
      </x:c>
      <x:c r="Q70" s="144" t="str"/>
      <x:c r="R70" s="129" t="str">
        <x:v>Sonata</x:v>
      </x:c>
      <x:c r="S70" s="129" t="str">
        <x:v>Mainstream Midsize</x:v>
      </x:c>
      <x:c r="T70" s="147" t="n">
        <x:f>2026-G70</x:f>
        <x:v>1</x:v>
      </x:c>
      <x:c r="U70" s="150" t="n">
        <x:f>IF(T70&gt;0,I70/T70,"")</x:f>
        <x:v>47328</x:v>
      </x:c>
      <x:c r="V70" s="129" t="str">
        <x:v>Regular Gasoline</x:v>
      </x:c>
      <x:c r="W70" s="129" t="str">
        <x:v>No</x:v>
      </x:c>
      <x:c r="X70" s="129" t="str">
        <x:v>Normal</x:v>
      </x:c>
      <x:c r="Y70" s="129" t="str">
        <x:f>IF(R70="AMG C43","No","Yes")</x:f>
        <x:v>Yes</x:v>
      </x:c>
      <x:c r="Z70" s="144" t="str">
        <x:f>IF(Y70="No","Excluded from final analysis: AMG performance model outside the predefined C300 candidate category.","")</x:f>
      </x:c>
    </x:row>
    <x:row r="71">
      <x:c r="A71" s="129" t="str">
        <x:v>SONA_006</x:v>
      </x:c>
      <x:c r="B71" s="132" t="n">
        <x:v>46233</x:v>
      </x:c>
      <x:c r="C71" s="129" t="str">
        <x:v>Brampton</x:v>
      </x:c>
      <x:c r="D71" s="129" t="str">
        <x:v>Hyundai</x:v>
      </x:c>
      <x:c r="E71" s="129" t="str">
        <x:v>Sonata</x:v>
      </x:c>
      <x:c r="F71" s="129" t="str">
        <x:v>Preferred Trend</x:v>
      </x:c>
      <x:c r="G71" s="135" t="n">
        <x:v>2024</x:v>
      </x:c>
      <x:c r="H71" s="138" t="n">
        <x:v>27999</x:v>
      </x:c>
      <x:c r="I71" s="141" t="n">
        <x:v>24826</x:v>
      </x:c>
      <x:c r="J71" s="129" t="str">
        <x:v>Sedan</x:v>
      </x:c>
      <x:c r="K71" s="129" t="str">
        <x:v>FWD</x:v>
      </x:c>
      <x:c r="L71" s="129" t="str">
        <x:v>2.5L GDI + MPI I4</x:v>
      </x:c>
      <x:c r="M71" s="129" t="str">
        <x:v>Gasoline</x:v>
      </x:c>
      <x:c r="N71" s="129" t="str">
        <x:v>8-speed automatic</x:v>
      </x:c>
      <x:c r="O71" s="129" t="str">
        <x:v>Good Deal</x:v>
      </x:c>
      <x:c r="P71" s="129" t="str">
        <x:v>8th Generation Facelift</x:v>
      </x:c>
      <x:c r="Q71" s="144" t="str"/>
      <x:c r="R71" s="129" t="str">
        <x:v>Sonata</x:v>
      </x:c>
      <x:c r="S71" s="129" t="str">
        <x:v>Mainstream Midsize</x:v>
      </x:c>
      <x:c r="T71" s="147" t="n">
        <x:f>2026-G71</x:f>
        <x:v>2</x:v>
      </x:c>
      <x:c r="U71" s="150" t="n">
        <x:f>IF(T71&gt;0,I71/T71,"")</x:f>
        <x:v>12413</x:v>
      </x:c>
      <x:c r="V71" s="129" t="str">
        <x:v>Regular Gasoline</x:v>
      </x:c>
      <x:c r="W71" s="129" t="str">
        <x:v>No</x:v>
      </x:c>
      <x:c r="X71" s="129" t="str">
        <x:v>Normal</x:v>
      </x:c>
      <x:c r="Y71" s="129" t="str">
        <x:f>IF(R71="AMG C43","No","Yes")</x:f>
        <x:v>Yes</x:v>
      </x:c>
      <x:c r="Z71" s="144" t="str">
        <x:f>IF(Y71="No","Excluded from final analysis: AMG performance model outside the predefined C300 candidate category.","")</x:f>
      </x:c>
    </x:row>
    <x:row r="72">
      <x:c r="A72" s="129" t="str">
        <x:v>SONA_007</x:v>
      </x:c>
      <x:c r="B72" s="132" t="n">
        <x:v>46233</x:v>
      </x:c>
      <x:c r="C72" s="129" t="str">
        <x:v>Burlington</x:v>
      </x:c>
      <x:c r="D72" s="129" t="str">
        <x:v>Hyundai</x:v>
      </x:c>
      <x:c r="E72" s="129" t="str">
        <x:v>Sonata</x:v>
      </x:c>
      <x:c r="F72" s="129" t="str">
        <x:v>Preferred Trend</x:v>
      </x:c>
      <x:c r="G72" s="135" t="n">
        <x:v>2024</x:v>
      </x:c>
      <x:c r="H72" s="138" t="n">
        <x:v>26998</x:v>
      </x:c>
      <x:c r="I72" s="141" t="n">
        <x:v>38029</x:v>
      </x:c>
      <x:c r="J72" s="129" t="str">
        <x:v>Sedan</x:v>
      </x:c>
      <x:c r="K72" s="129" t="str">
        <x:v>FWD</x:v>
      </x:c>
      <x:c r="L72" s="129" t="str">
        <x:v>2.5L GDI + MPI I4</x:v>
      </x:c>
      <x:c r="M72" s="129" t="str">
        <x:v>Gasoline</x:v>
      </x:c>
      <x:c r="N72" s="129" t="str">
        <x:v>8-speed automatic</x:v>
      </x:c>
      <x:c r="O72" s="129" t="str">
        <x:v>Good Deal</x:v>
      </x:c>
      <x:c r="P72" s="129" t="str">
        <x:v>8th Generation Facelift</x:v>
      </x:c>
      <x:c r="Q72" s="144" t="str"/>
      <x:c r="R72" s="129" t="str">
        <x:v>Sonata</x:v>
      </x:c>
      <x:c r="S72" s="129" t="str">
        <x:v>Mainstream Midsize</x:v>
      </x:c>
      <x:c r="T72" s="147" t="n">
        <x:f>2026-G72</x:f>
        <x:v>2</x:v>
      </x:c>
      <x:c r="U72" s="150" t="n">
        <x:f>IF(T72&gt;0,I72/T72,"")</x:f>
        <x:v>19014.5</x:v>
      </x:c>
      <x:c r="V72" s="129" t="str">
        <x:v>Regular Gasoline</x:v>
      </x:c>
      <x:c r="W72" s="129" t="str">
        <x:v>No</x:v>
      </x:c>
      <x:c r="X72" s="129" t="str">
        <x:v>Normal</x:v>
      </x:c>
      <x:c r="Y72" s="129" t="str">
        <x:f>IF(R72="AMG C43","No","Yes")</x:f>
        <x:v>Yes</x:v>
      </x:c>
      <x:c r="Z72" s="144" t="str">
        <x:f>IF(Y72="No","Excluded from final analysis: AMG performance model outside the predefined C300 candidate category.","")</x:f>
      </x:c>
    </x:row>
    <x:row r="73">
      <x:c r="A73" s="129" t="str">
        <x:v>SONA_008</x:v>
      </x:c>
      <x:c r="B73" s="132" t="n">
        <x:v>46233</x:v>
      </x:c>
      <x:c r="C73" s="129" t="str">
        <x:v>Mississauga</x:v>
      </x:c>
      <x:c r="D73" s="129" t="str">
        <x:v>Hyundai</x:v>
      </x:c>
      <x:c r="E73" s="129" t="str">
        <x:v>Sonata</x:v>
      </x:c>
      <x:c r="F73" s="129" t="str">
        <x:v>Preferred Trend</x:v>
      </x:c>
      <x:c r="G73" s="135" t="n">
        <x:v>2025</x:v>
      </x:c>
      <x:c r="H73" s="138" t="n">
        <x:v>30821</x:v>
      </x:c>
      <x:c r="I73" s="141" t="n">
        <x:v>8758</x:v>
      </x:c>
      <x:c r="J73" s="129" t="str">
        <x:v>Sedan</x:v>
      </x:c>
      <x:c r="K73" s="129" t="str">
        <x:v>AWD</x:v>
      </x:c>
      <x:c r="L73" s="129" t="str">
        <x:v>2.5L GDI + MPI I4</x:v>
      </x:c>
      <x:c r="M73" s="129" t="str">
        <x:v>Gasoline</x:v>
      </x:c>
      <x:c r="N73" s="129" t="str">
        <x:v>8-speed automatic</x:v>
      </x:c>
      <x:c r="O73" s="129" t="str">
        <x:v>Good Deal</x:v>
      </x:c>
      <x:c r="P73" s="129" t="str">
        <x:v>8th Generation Facelift</x:v>
      </x:c>
      <x:c r="Q73" s="144" t="str"/>
      <x:c r="R73" s="129" t="str">
        <x:v>Sonata</x:v>
      </x:c>
      <x:c r="S73" s="129" t="str">
        <x:v>Mainstream Midsize</x:v>
      </x:c>
      <x:c r="T73" s="147" t="n">
        <x:f>2026-G73</x:f>
        <x:v>1</x:v>
      </x:c>
      <x:c r="U73" s="150" t="n">
        <x:f>IF(T73&gt;0,I73/T73,"")</x:f>
        <x:v>8758</x:v>
      </x:c>
      <x:c r="V73" s="129" t="str">
        <x:v>Regular Gasoline</x:v>
      </x:c>
      <x:c r="W73" s="129" t="str">
        <x:v>No</x:v>
      </x:c>
      <x:c r="X73" s="129" t="str">
        <x:v>Normal</x:v>
      </x:c>
      <x:c r="Y73" s="129" t="str">
        <x:f>IF(R73="AMG C43","No","Yes")</x:f>
        <x:v>Yes</x:v>
      </x:c>
      <x:c r="Z73" s="144" t="str">
        <x:f>IF(Y73="No","Excluded from final analysis: AMG performance model outside the predefined C300 candidate category.","")</x:f>
      </x:c>
    </x:row>
    <x:row r="74">
      <x:c r="A74" s="129" t="str">
        <x:v>SONA_009</x:v>
      </x:c>
      <x:c r="B74" s="132" t="n">
        <x:v>46233</x:v>
      </x:c>
      <x:c r="C74" s="129" t="str">
        <x:v>Burlington</x:v>
      </x:c>
      <x:c r="D74" s="129" t="str">
        <x:v>Hyundai</x:v>
      </x:c>
      <x:c r="E74" s="129" t="str">
        <x:v>Sonata</x:v>
      </x:c>
      <x:c r="F74" s="129" t="str">
        <x:v>Preferred Trend</x:v>
      </x:c>
      <x:c r="G74" s="135" t="n">
        <x:v>2025</x:v>
      </x:c>
      <x:c r="H74" s="138" t="n">
        <x:v>27638</x:v>
      </x:c>
      <x:c r="I74" s="141" t="n">
        <x:v>42852</x:v>
      </x:c>
      <x:c r="J74" s="129" t="str">
        <x:v>Sedan</x:v>
      </x:c>
      <x:c r="K74" s="129" t="str">
        <x:v>FWD</x:v>
      </x:c>
      <x:c r="L74" s="129" t="str">
        <x:v>2.5L GDI + MPI I4</x:v>
      </x:c>
      <x:c r="M74" s="129" t="str">
        <x:v>Gasoline</x:v>
      </x:c>
      <x:c r="N74" s="129" t="str">
        <x:v>8-speed automatic</x:v>
      </x:c>
      <x:c r="O74" s="129" t="str">
        <x:v>Good Deal</x:v>
      </x:c>
      <x:c r="P74" s="129" t="str">
        <x:v>8th Generation Facelift</x:v>
      </x:c>
      <x:c r="Q74" s="144" t="str"/>
      <x:c r="R74" s="129" t="str">
        <x:v>Sonata</x:v>
      </x:c>
      <x:c r="S74" s="129" t="str">
        <x:v>Mainstream Midsize</x:v>
      </x:c>
      <x:c r="T74" s="147" t="n">
        <x:f>2026-G74</x:f>
        <x:v>1</x:v>
      </x:c>
      <x:c r="U74" s="150" t="n">
        <x:f>IF(T74&gt;0,I74/T74,"")</x:f>
        <x:v>42852</x:v>
      </x:c>
      <x:c r="V74" s="129" t="str">
        <x:v>Regular Gasoline</x:v>
      </x:c>
      <x:c r="W74" s="129" t="str">
        <x:v>No</x:v>
      </x:c>
      <x:c r="X74" s="129" t="str">
        <x:v>Normal</x:v>
      </x:c>
      <x:c r="Y74" s="129" t="str">
        <x:f>IF(R74="AMG C43","No","Yes")</x:f>
        <x:v>Yes</x:v>
      </x:c>
      <x:c r="Z74" s="144" t="str">
        <x:f>IF(Y74="No","Excluded from final analysis: AMG performance model outside the predefined C300 candidate category.","")</x:f>
      </x:c>
    </x:row>
    <x:row r="75">
      <x:c r="A75" s="129" t="str">
        <x:v>SONA_010</x:v>
      </x:c>
      <x:c r="B75" s="132" t="n">
        <x:v>46233</x:v>
      </x:c>
      <x:c r="C75" s="129" t="str">
        <x:v>Mississauga</x:v>
      </x:c>
      <x:c r="D75" s="129" t="str">
        <x:v>Hyundai</x:v>
      </x:c>
      <x:c r="E75" s="129" t="str">
        <x:v>Sonata</x:v>
      </x:c>
      <x:c r="F75" s="129" t="str">
        <x:v>Preferred Trend</x:v>
      </x:c>
      <x:c r="G75" s="135" t="n">
        <x:v>2025</x:v>
      </x:c>
      <x:c r="H75" s="138" t="n">
        <x:v>30821</x:v>
      </x:c>
      <x:c r="I75" s="141" t="n">
        <x:v>7018</x:v>
      </x:c>
      <x:c r="J75" s="129" t="str">
        <x:v>Sedan</x:v>
      </x:c>
      <x:c r="K75" s="129" t="str">
        <x:v>AWD</x:v>
      </x:c>
      <x:c r="L75" s="129" t="str">
        <x:v>2.5L GDI + MPI I4</x:v>
      </x:c>
      <x:c r="M75" s="129" t="str">
        <x:v>Gasoline</x:v>
      </x:c>
      <x:c r="N75" s="129" t="str">
        <x:v>8-speed automatic</x:v>
      </x:c>
      <x:c r="O75" s="129" t="str">
        <x:v>Good Deal</x:v>
      </x:c>
      <x:c r="P75" s="129" t="str">
        <x:v>8th Generation Facelift</x:v>
      </x:c>
      <x:c r="Q75" s="144" t="str"/>
      <x:c r="R75" s="129" t="str">
        <x:v>Sonata</x:v>
      </x:c>
      <x:c r="S75" s="129" t="str">
        <x:v>Mainstream Midsize</x:v>
      </x:c>
      <x:c r="T75" s="147" t="n">
        <x:f>2026-G75</x:f>
        <x:v>1</x:v>
      </x:c>
      <x:c r="U75" s="150" t="n">
        <x:f>IF(T75&gt;0,I75/T75,"")</x:f>
        <x:v>7018</x:v>
      </x:c>
      <x:c r="V75" s="129" t="str">
        <x:v>Regular Gasoline</x:v>
      </x:c>
      <x:c r="W75" s="129" t="str">
        <x:v>No</x:v>
      </x:c>
      <x:c r="X75" s="129" t="str">
        <x:v>Normal</x:v>
      </x:c>
      <x:c r="Y75" s="129" t="str">
        <x:f>IF(R75="AMG C43","No","Yes")</x:f>
        <x:v>Yes</x:v>
      </x:c>
      <x:c r="Z75" s="144" t="str">
        <x:f>IF(Y75="No","Excluded from final analysis: AMG performance model outside the predefined C300 candidate category.","")</x:f>
      </x:c>
    </x:row>
    <x:row r="76">
      <x:c r="A76" s="129" t="str">
        <x:v>SONA_011</x:v>
      </x:c>
      <x:c r="B76" s="132" t="n">
        <x:v>46233</x:v>
      </x:c>
      <x:c r="C76" s="129" t="str">
        <x:v>Newmarket</x:v>
      </x:c>
      <x:c r="D76" s="129" t="str">
        <x:v>Hyundai</x:v>
      </x:c>
      <x:c r="E76" s="129" t="str">
        <x:v>Sonata</x:v>
      </x:c>
      <x:c r="F76" s="129" t="str">
        <x:v>Preferred Trend</x:v>
      </x:c>
      <x:c r="G76" s="135" t="n">
        <x:v>2025</x:v>
      </x:c>
      <x:c r="H76" s="138" t="n">
        <x:v>29999</x:v>
      </x:c>
      <x:c r="I76" s="141" t="n">
        <x:v>11363</x:v>
      </x:c>
      <x:c r="J76" s="129" t="str">
        <x:v>Sedan</x:v>
      </x:c>
      <x:c r="K76" s="129" t="str">
        <x:v>FWD</x:v>
      </x:c>
      <x:c r="L76" s="129" t="str">
        <x:v>2.5L GDI + MPI I4</x:v>
      </x:c>
      <x:c r="M76" s="129" t="str">
        <x:v>Gasoline</x:v>
      </x:c>
      <x:c r="N76" s="129" t="str">
        <x:v>8-speed automatic</x:v>
      </x:c>
      <x:c r="O76" s="129" t="str">
        <x:v>Good Deal</x:v>
      </x:c>
      <x:c r="P76" s="129" t="str">
        <x:v>8th Generation Facelift</x:v>
      </x:c>
      <x:c r="Q76" s="144" t="str">
        <x:v>Price reduced by $889</x:v>
      </x:c>
      <x:c r="R76" s="129" t="str">
        <x:v>Sonata</x:v>
      </x:c>
      <x:c r="S76" s="129" t="str">
        <x:v>Mainstream Midsize</x:v>
      </x:c>
      <x:c r="T76" s="147" t="n">
        <x:f>2026-G76</x:f>
        <x:v>1</x:v>
      </x:c>
      <x:c r="U76" s="150" t="n">
        <x:f>IF(T76&gt;0,I76/T76,"")</x:f>
        <x:v>11363</x:v>
      </x:c>
      <x:c r="V76" s="129" t="str">
        <x:v>Regular Gasoline</x:v>
      </x:c>
      <x:c r="W76" s="129" t="str">
        <x:v>No</x:v>
      </x:c>
      <x:c r="X76" s="129" t="str">
        <x:v>Normal</x:v>
      </x:c>
      <x:c r="Y76" s="129" t="str">
        <x:f>IF(R76="AMG C43","No","Yes")</x:f>
        <x:v>Yes</x:v>
      </x:c>
      <x:c r="Z76" s="144" t="str">
        <x:f>IF(Y76="No","Excluded from final analysis: AMG performance model outside the predefined C300 candidate category.","")</x:f>
      </x:c>
    </x:row>
    <x:row r="77">
      <x:c r="A77" s="129" t="str">
        <x:v>SONA_012</x:v>
      </x:c>
      <x:c r="B77" s="132" t="n">
        <x:v>46233</x:v>
      </x:c>
      <x:c r="C77" s="129" t="str">
        <x:v>Brampton</x:v>
      </x:c>
      <x:c r="D77" s="129" t="str">
        <x:v>Hyundai</x:v>
      </x:c>
      <x:c r="E77" s="129" t="str">
        <x:v>Sonata</x:v>
      </x:c>
      <x:c r="F77" s="129" t="str">
        <x:v>Preferred Trend</x:v>
      </x:c>
      <x:c r="G77" s="135" t="n">
        <x:v>2025</x:v>
      </x:c>
      <x:c r="H77" s="138" t="n">
        <x:v>28800</x:v>
      </x:c>
      <x:c r="I77" s="141" t="n">
        <x:v>53390</x:v>
      </x:c>
      <x:c r="J77" s="129" t="str">
        <x:v>Sedan</x:v>
      </x:c>
      <x:c r="K77" s="129" t="str">
        <x:v>FWD</x:v>
      </x:c>
      <x:c r="L77" s="129" t="str">
        <x:v>2.5L GDI + MPI I4</x:v>
      </x:c>
      <x:c r="M77" s="129" t="str">
        <x:v>Gasoline</x:v>
      </x:c>
      <x:c r="N77" s="129" t="str">
        <x:v>8-speed automatic</x:v>
      </x:c>
      <x:c r="O77" s="129" t="str">
        <x:v>Fair Deal</x:v>
      </x:c>
      <x:c r="P77" s="129" t="str">
        <x:v>8th Generation Facelift</x:v>
      </x:c>
      <x:c r="Q77" s="144" t="str"/>
      <x:c r="R77" s="129" t="str">
        <x:v>Sonata</x:v>
      </x:c>
      <x:c r="S77" s="129" t="str">
        <x:v>Mainstream Midsize</x:v>
      </x:c>
      <x:c r="T77" s="147" t="n">
        <x:f>2026-G77</x:f>
        <x:v>1</x:v>
      </x:c>
      <x:c r="U77" s="150" t="n">
        <x:f>IF(T77&gt;0,I77/T77,"")</x:f>
        <x:v>53390</x:v>
      </x:c>
      <x:c r="V77" s="129" t="str">
        <x:v>Regular Gasoline</x:v>
      </x:c>
      <x:c r="W77" s="129" t="str">
        <x:v>No</x:v>
      </x:c>
      <x:c r="X77" s="129" t="str">
        <x:v>Normal</x:v>
      </x:c>
      <x:c r="Y77" s="129" t="str">
        <x:f>IF(R77="AMG C43","No","Yes")</x:f>
        <x:v>Yes</x:v>
      </x:c>
      <x:c r="Z77" s="144" t="str">
        <x:f>IF(Y77="No","Excluded from final analysis: AMG performance model outside the predefined C300 candidate category.","")</x:f>
      </x:c>
    </x:row>
    <x:row r="78">
      <x:c r="A78" s="129" t="str">
        <x:v>SONA_013</x:v>
      </x:c>
      <x:c r="B78" s="132" t="n">
        <x:v>46233</x:v>
      </x:c>
      <x:c r="C78" s="129" t="str">
        <x:v>Etobicoke</x:v>
      </x:c>
      <x:c r="D78" s="129" t="str">
        <x:v>Hyundai</x:v>
      </x:c>
      <x:c r="E78" s="129" t="str">
        <x:v>Sonata</x:v>
      </x:c>
      <x:c r="F78" s="129" t="str">
        <x:v>Preferred Trend</x:v>
      </x:c>
      <x:c r="G78" s="135" t="n">
        <x:v>2025</x:v>
      </x:c>
      <x:c r="H78" s="138" t="n">
        <x:v>31000</x:v>
      </x:c>
      <x:c r="I78" s="141" t="n">
        <x:v>20374</x:v>
      </x:c>
      <x:c r="J78" s="129" t="str">
        <x:v>Sedan</x:v>
      </x:c>
      <x:c r="K78" s="129" t="str">
        <x:v>AWD</x:v>
      </x:c>
      <x:c r="L78" s="129" t="str">
        <x:v>2.5L GDI + MPI I4</x:v>
      </x:c>
      <x:c r="M78" s="129" t="str">
        <x:v>Gasoline</x:v>
      </x:c>
      <x:c r="N78" s="129" t="str">
        <x:v>8-speed automatic</x:v>
      </x:c>
      <x:c r="O78" s="129" t="str">
        <x:v>Fair Deal</x:v>
      </x:c>
      <x:c r="P78" s="129" t="str">
        <x:v>8th Generation Facelift</x:v>
      </x:c>
      <x:c r="Q78" s="144" t="str">
        <x:v>Price reduced by $1,088</x:v>
      </x:c>
      <x:c r="R78" s="129" t="str">
        <x:v>Sonata</x:v>
      </x:c>
      <x:c r="S78" s="129" t="str">
        <x:v>Mainstream Midsize</x:v>
      </x:c>
      <x:c r="T78" s="147" t="n">
        <x:f>2026-G78</x:f>
        <x:v>1</x:v>
      </x:c>
      <x:c r="U78" s="150" t="n">
        <x:f>IF(T78&gt;0,I78/T78,"")</x:f>
        <x:v>20374</x:v>
      </x:c>
      <x:c r="V78" s="129" t="str">
        <x:v>Regular Gasoline</x:v>
      </x:c>
      <x:c r="W78" s="129" t="str">
        <x:v>No</x:v>
      </x:c>
      <x:c r="X78" s="129" t="str">
        <x:v>Normal</x:v>
      </x:c>
      <x:c r="Y78" s="129" t="str">
        <x:f>IF(R78="AMG C43","No","Yes")</x:f>
        <x:v>Yes</x:v>
      </x:c>
      <x:c r="Z78" s="144" t="str">
        <x:f>IF(Y78="No","Excluded from final analysis: AMG performance model outside the predefined C300 candidate category.","")</x:f>
      </x:c>
    </x:row>
    <x:row r="79">
      <x:c r="A79" s="129" t="str">
        <x:v>SONA_014</x:v>
      </x:c>
      <x:c r="B79" s="132" t="n">
        <x:v>46233</x:v>
      </x:c>
      <x:c r="C79" s="129" t="str">
        <x:v>Waterloo</x:v>
      </x:c>
      <x:c r="D79" s="129" t="str">
        <x:v>Hyundai</x:v>
      </x:c>
      <x:c r="E79" s="129" t="str">
        <x:v>Sonata</x:v>
      </x:c>
      <x:c r="F79" s="129" t="str">
        <x:v>Preferred Trend</x:v>
      </x:c>
      <x:c r="G79" s="135" t="n">
        <x:v>2025</x:v>
      </x:c>
      <x:c r="H79" s="138" t="n">
        <x:v>29970</x:v>
      </x:c>
      <x:c r="I79" s="141" t="n">
        <x:v>34047</x:v>
      </x:c>
      <x:c r="J79" s="129" t="str">
        <x:v>Sedan</x:v>
      </x:c>
      <x:c r="K79" s="129" t="str">
        <x:v>FWD</x:v>
      </x:c>
      <x:c r="L79" s="129" t="str">
        <x:v>2.5L GDI + MPI I4</x:v>
      </x:c>
      <x:c r="M79" s="129" t="str">
        <x:v>Gasoline</x:v>
      </x:c>
      <x:c r="N79" s="129" t="str">
        <x:v>8-speed automatic</x:v>
      </x:c>
      <x:c r="O79" s="129" t="str">
        <x:v>Fair Deal</x:v>
      </x:c>
      <x:c r="P79" s="129" t="str">
        <x:v>8th Generation Facelift</x:v>
      </x:c>
      <x:c r="Q79" s="144" t="str"/>
      <x:c r="R79" s="129" t="str">
        <x:v>Sonata</x:v>
      </x:c>
      <x:c r="S79" s="129" t="str">
        <x:v>Mainstream Midsize</x:v>
      </x:c>
      <x:c r="T79" s="147" t="n">
        <x:f>2026-G79</x:f>
        <x:v>1</x:v>
      </x:c>
      <x:c r="U79" s="150" t="n">
        <x:f>IF(T79&gt;0,I79/T79,"")</x:f>
        <x:v>34047</x:v>
      </x:c>
      <x:c r="V79" s="129" t="str">
        <x:v>Regular Gasoline</x:v>
      </x:c>
      <x:c r="W79" s="129" t="str">
        <x:v>No</x:v>
      </x:c>
      <x:c r="X79" s="129" t="str">
        <x:v>Normal</x:v>
      </x:c>
      <x:c r="Y79" s="129" t="str">
        <x:f>IF(R79="AMG C43","No","Yes")</x:f>
        <x:v>Yes</x:v>
      </x:c>
      <x:c r="Z79" s="144" t="str">
        <x:f>IF(Y79="No","Excluded from final analysis: AMG performance model outside the predefined C300 candidate category.","")</x:f>
      </x:c>
    </x:row>
    <x:row r="80">
      <x:c r="A80" s="129" t="str">
        <x:v>SONA_015</x:v>
      </x:c>
      <x:c r="B80" s="132" t="n">
        <x:v>46233</x:v>
      </x:c>
      <x:c r="C80" s="129" t="str">
        <x:v>Mississauga</x:v>
      </x:c>
      <x:c r="D80" s="129" t="str">
        <x:v>Hyundai</x:v>
      </x:c>
      <x:c r="E80" s="129" t="str">
        <x:v>Sonata</x:v>
      </x:c>
      <x:c r="F80" s="129" t="str">
        <x:v>Preferred Trend</x:v>
      </x:c>
      <x:c r="G80" s="135" t="n">
        <x:v>2025</x:v>
      </x:c>
      <x:c r="H80" s="138" t="n">
        <x:v>28821</x:v>
      </x:c>
      <x:c r="I80" s="141" t="n">
        <x:v>131725</x:v>
      </x:c>
      <x:c r="J80" s="129" t="str">
        <x:v>Sedan</x:v>
      </x:c>
      <x:c r="K80" s="129" t="str">
        <x:v>AWD</x:v>
      </x:c>
      <x:c r="L80" s="129" t="str">
        <x:v>2.5L GDI + MPI I4</x:v>
      </x:c>
      <x:c r="M80" s="129" t="str">
        <x:v>Gasoline</x:v>
      </x:c>
      <x:c r="N80" s="129" t="str">
        <x:v>8-speed automatic</x:v>
      </x:c>
      <x:c r="O80" s="129" t="str">
        <x:v>Fair Deal</x:v>
      </x:c>
      <x:c r="P80" s="129" t="str">
        <x:v>8th Generation Facelift</x:v>
      </x:c>
      <x:c r="Q80" s="144" t="str">
        <x:v>Unusually high mileage</x:v>
      </x:c>
      <x:c r="R80" s="129" t="str">
        <x:v>Sonata</x:v>
      </x:c>
      <x:c r="S80" s="129" t="str">
        <x:v>Mainstream Midsize</x:v>
      </x:c>
      <x:c r="T80" s="147" t="n">
        <x:f>2026-G80</x:f>
        <x:v>1</x:v>
      </x:c>
      <x:c r="U80" s="150" t="n">
        <x:f>IF(T80&gt;0,I80/T80,"")</x:f>
        <x:v>131725</x:v>
      </x:c>
      <x:c r="V80" s="129" t="str">
        <x:v>Regular Gasoline</x:v>
      </x:c>
      <x:c r="W80" s="129" t="str">
        <x:v>No</x:v>
      </x:c>
      <x:c r="X80" s="129" t="str">
        <x:v>Very High</x:v>
      </x:c>
      <x:c r="Y80" s="129" t="str">
        <x:f>IF(R80="AMG C43","No","Yes")</x:f>
        <x:v>Yes</x:v>
      </x:c>
      <x:c r="Z80" s="144" t="str">
        <x:f>IF(Y80="No","Excluded from final analysis: AMG performance model outside the predefined C300 candidate category.","")</x:f>
      </x:c>
    </x:row>
    <x:row r="81">
      <x:c r="A81" s="129" t="str">
        <x:v>SONA_016</x:v>
      </x:c>
      <x:c r="B81" s="132" t="n">
        <x:v>46233</x:v>
      </x:c>
      <x:c r="C81" s="129" t="str">
        <x:v>London</x:v>
      </x:c>
      <x:c r="D81" s="129" t="str">
        <x:v>Hyundai</x:v>
      </x:c>
      <x:c r="E81" s="129" t="str">
        <x:v>Sonata</x:v>
      </x:c>
      <x:c r="F81" s="129" t="str">
        <x:v>Preferred Trend</x:v>
      </x:c>
      <x:c r="G81" s="135" t="n">
        <x:v>2024</x:v>
      </x:c>
      <x:c r="H81" s="138" t="n">
        <x:v>29995</x:v>
      </x:c>
      <x:c r="I81" s="141" t="n">
        <x:v>39808</x:v>
      </x:c>
      <x:c r="J81" s="129" t="str">
        <x:v>Sedan</x:v>
      </x:c>
      <x:c r="K81" s="129" t="str">
        <x:v>FWD</x:v>
      </x:c>
      <x:c r="L81" s="129" t="str">
        <x:v>2.5L GDI + MPI I4</x:v>
      </x:c>
      <x:c r="M81" s="129" t="str">
        <x:v>Gasoline</x:v>
      </x:c>
      <x:c r="N81" s="129" t="str">
        <x:v>8-speed automatic</x:v>
      </x:c>
      <x:c r="O81" s="129" t="str">
        <x:v>Fair Deal</x:v>
      </x:c>
      <x:c r="P81" s="129" t="str">
        <x:v>8th Generation Facelift</x:v>
      </x:c>
      <x:c r="Q81" s="144" t="str"/>
      <x:c r="R81" s="129" t="str">
        <x:v>Sonata</x:v>
      </x:c>
      <x:c r="S81" s="129" t="str">
        <x:v>Mainstream Midsize</x:v>
      </x:c>
      <x:c r="T81" s="147" t="n">
        <x:f>2026-G81</x:f>
        <x:v>2</x:v>
      </x:c>
      <x:c r="U81" s="150" t="n">
        <x:f>IF(T81&gt;0,I81/T81,"")</x:f>
        <x:v>19904</x:v>
      </x:c>
      <x:c r="V81" s="129" t="str">
        <x:v>Regular Gasoline</x:v>
      </x:c>
      <x:c r="W81" s="129" t="str">
        <x:v>No</x:v>
      </x:c>
      <x:c r="X81" s="129" t="str">
        <x:v>Normal</x:v>
      </x:c>
      <x:c r="Y81" s="129" t="str">
        <x:f>IF(R81="AMG C43","No","Yes")</x:f>
        <x:v>Yes</x:v>
      </x:c>
      <x:c r="Z81" s="144" t="str">
        <x:f>IF(Y81="No","Excluded from final analysis: AMG performance model outside the predefined C300 candidate category.","")</x:f>
      </x:c>
    </x:row>
    <x:row r="82">
      <x:c r="A82" s="129" t="str">
        <x:v>SONA_017</x:v>
      </x:c>
      <x:c r="B82" s="132" t="n">
        <x:v>46233</x:v>
      </x:c>
      <x:c r="C82" s="129" t="str">
        <x:v>Cambridge</x:v>
      </x:c>
      <x:c r="D82" s="129" t="str">
        <x:v>Hyundai</x:v>
      </x:c>
      <x:c r="E82" s="129" t="str">
        <x:v>Sonata</x:v>
      </x:c>
      <x:c r="F82" s="129" t="str">
        <x:v>Preferred Trend</x:v>
      </x:c>
      <x:c r="G82" s="135" t="n">
        <x:v>2025</x:v>
      </x:c>
      <x:c r="H82" s="138" t="n">
        <x:v>32690</x:v>
      </x:c>
      <x:c r="I82" s="141" t="n">
        <x:v>18943</x:v>
      </x:c>
      <x:c r="J82" s="129" t="str">
        <x:v>Sedan</x:v>
      </x:c>
      <x:c r="K82" s="129" t="str">
        <x:v>AWD</x:v>
      </x:c>
      <x:c r="L82" s="129" t="str">
        <x:v>2.5L GDI + MPI I4</x:v>
      </x:c>
      <x:c r="M82" s="129" t="str">
        <x:v>Gasoline</x:v>
      </x:c>
      <x:c r="N82" s="129" t="str">
        <x:v>8-speed automatic</x:v>
      </x:c>
      <x:c r="O82" s="129" t="str">
        <x:v>Fair Deal</x:v>
      </x:c>
      <x:c r="P82" s="129" t="str">
        <x:v>8th Generation Facelift</x:v>
      </x:c>
      <x:c r="Q82" s="144" t="str">
        <x:v>Certified Pre-Owned</x:v>
      </x:c>
      <x:c r="R82" s="129" t="str">
        <x:v>Sonata</x:v>
      </x:c>
      <x:c r="S82" s="129" t="str">
        <x:v>Mainstream Midsize</x:v>
      </x:c>
      <x:c r="T82" s="147" t="n">
        <x:f>2026-G82</x:f>
        <x:v>1</x:v>
      </x:c>
      <x:c r="U82" s="150" t="n">
        <x:f>IF(T82&gt;0,I82/T82,"")</x:f>
        <x:v>18943</x:v>
      </x:c>
      <x:c r="V82" s="129" t="str">
        <x:v>Regular Gasoline</x:v>
      </x:c>
      <x:c r="W82" s="129" t="str">
        <x:v>No</x:v>
      </x:c>
      <x:c r="X82" s="129" t="str">
        <x:v>Normal</x:v>
      </x:c>
      <x:c r="Y82" s="129" t="str">
        <x:f>IF(R82="AMG C43","No","Yes")</x:f>
        <x:v>Yes</x:v>
      </x:c>
      <x:c r="Z82" s="144" t="str">
        <x:f>IF(Y82="No","Excluded from final analysis: AMG performance model outside the predefined C300 candidate category.","")</x:f>
      </x:c>
    </x:row>
    <x:row r="83">
      <x:c r="A83" s="129" t="str">
        <x:v>SONN_001</x:v>
      </x:c>
      <x:c r="B83" s="132" t="n">
        <x:v>46233</x:v>
      </x:c>
      <x:c r="C83" s="129" t="str">
        <x:v>Huntsville</x:v>
      </x:c>
      <x:c r="D83" s="129" t="str">
        <x:v>Hyundai</x:v>
      </x:c>
      <x:c r="E83" s="129" t="str">
        <x:v>Sonata N Line</x:v>
      </x:c>
      <x:c r="F83" s="129" t="str">
        <x:v>N Line Ultimate</x:v>
      </x:c>
      <x:c r="G83" s="135" t="n">
        <x:v>2025</x:v>
      </x:c>
      <x:c r="H83" s="138" t="n">
        <x:v>33284</x:v>
      </x:c>
      <x:c r="I83" s="141" t="n">
        <x:v>7300</x:v>
      </x:c>
      <x:c r="J83" s="129" t="str">
        <x:v>Sedan</x:v>
      </x:c>
      <x:c r="K83" s="129" t="str">
        <x:v>FWD</x:v>
      </x:c>
      <x:c r="L83" s="129" t="str">
        <x:v>2.5L Turbo GDI I4</x:v>
      </x:c>
      <x:c r="M83" s="129" t="str">
        <x:v>Gasoline</x:v>
      </x:c>
      <x:c r="N83" s="129" t="str">
        <x:v>8-speed wet DCT</x:v>
      </x:c>
      <x:c r="O83" s="129" t="str">
        <x:v>Great Deal</x:v>
      </x:c>
      <x:c r="P83" s="129" t="str">
        <x:v>8th Generation Facelift</x:v>
      </x:c>
      <x:c r="Q83" s="144" t="str"/>
      <x:c r="R83" s="129" t="str">
        <x:v>Sonata N Line</x:v>
      </x:c>
      <x:c r="S83" s="129" t="str">
        <x:v>Mainstream Midsize</x:v>
      </x:c>
      <x:c r="T83" s="147" t="n">
        <x:f>2026-G83</x:f>
        <x:v>1</x:v>
      </x:c>
      <x:c r="U83" s="150" t="n">
        <x:f>IF(T83&gt;0,I83/T83,"")</x:f>
        <x:v>7300</x:v>
      </x:c>
      <x:c r="V83" s="129" t="str">
        <x:v>Performance Gasoline</x:v>
      </x:c>
      <x:c r="W83" s="129" t="str">
        <x:v>Yes</x:v>
      </x:c>
      <x:c r="X83" s="129" t="str">
        <x:v>Normal</x:v>
      </x:c>
      <x:c r="Y83" s="129" t="str">
        <x:f>IF(R83="AMG C43","No","Yes")</x:f>
        <x:v>Yes</x:v>
      </x:c>
      <x:c r="Z83" s="144" t="str">
        <x:f>IF(Y83="No","Excluded from final analysis: AMG performance model outside the predefined C300 candidate category.","")</x:f>
      </x:c>
    </x:row>
    <x:row r="84">
      <x:c r="A84" s="129" t="str">
        <x:v>SONN_002</x:v>
      </x:c>
      <x:c r="B84" s="132" t="n">
        <x:v>46233</x:v>
      </x:c>
      <x:c r="C84" s="129" t="str">
        <x:v>Waterloo</x:v>
      </x:c>
      <x:c r="D84" s="129" t="str">
        <x:v>Hyundai</x:v>
      </x:c>
      <x:c r="E84" s="129" t="str">
        <x:v>Sonata N Line</x:v>
      </x:c>
      <x:c r="F84" s="129" t="str">
        <x:v>N Line Ultimate</x:v>
      </x:c>
      <x:c r="G84" s="135" t="n">
        <x:v>2024</x:v>
      </x:c>
      <x:c r="H84" s="138" t="n">
        <x:v>30732</x:v>
      </x:c>
      <x:c r="I84" s="141" t="n">
        <x:v>23835</x:v>
      </x:c>
      <x:c r="J84" s="129" t="str">
        <x:v>Sedan</x:v>
      </x:c>
      <x:c r="K84" s="129" t="str">
        <x:v>FWD</x:v>
      </x:c>
      <x:c r="L84" s="129" t="str">
        <x:v>2.5L Turbo GDI I4</x:v>
      </x:c>
      <x:c r="M84" s="129" t="str">
        <x:v>Gasoline</x:v>
      </x:c>
      <x:c r="N84" s="129" t="str">
        <x:v>8-speed wet DCT</x:v>
      </x:c>
      <x:c r="O84" s="129" t="str">
        <x:v>Great Deal</x:v>
      </x:c>
      <x:c r="P84" s="129" t="str">
        <x:v>8th Generation Facelift</x:v>
      </x:c>
      <x:c r="Q84" s="144" t="str"/>
      <x:c r="R84" s="129" t="str">
        <x:v>Sonata N Line</x:v>
      </x:c>
      <x:c r="S84" s="129" t="str">
        <x:v>Mainstream Midsize</x:v>
      </x:c>
      <x:c r="T84" s="147" t="n">
        <x:f>2026-G84</x:f>
        <x:v>2</x:v>
      </x:c>
      <x:c r="U84" s="150" t="n">
        <x:f>IF(T84&gt;0,I84/T84,"")</x:f>
        <x:v>11917.5</x:v>
      </x:c>
      <x:c r="V84" s="129" t="str">
        <x:v>Performance Gasoline</x:v>
      </x:c>
      <x:c r="W84" s="129" t="str">
        <x:v>Yes</x:v>
      </x:c>
      <x:c r="X84" s="129" t="str">
        <x:v>Normal</x:v>
      </x:c>
      <x:c r="Y84" s="129" t="str">
        <x:f>IF(R84="AMG C43","No","Yes")</x:f>
        <x:v>Yes</x:v>
      </x:c>
      <x:c r="Z84" s="144" t="str">
        <x:f>IF(Y84="No","Excluded from final analysis: AMG performance model outside the predefined C300 candidate category.","")</x:f>
      </x:c>
    </x:row>
    <x:row r="85">
      <x:c r="A85" s="129" t="str">
        <x:v>SONN_003</x:v>
      </x:c>
      <x:c r="B85" s="132" t="n">
        <x:v>46233</x:v>
      </x:c>
      <x:c r="C85" s="129" t="str">
        <x:v>Stouffville</x:v>
      </x:c>
      <x:c r="D85" s="129" t="str">
        <x:v>Hyundai</x:v>
      </x:c>
      <x:c r="E85" s="129" t="str">
        <x:v>Sonata N Line</x:v>
      </x:c>
      <x:c r="F85" s="129" t="str">
        <x:v>N Line</x:v>
      </x:c>
      <x:c r="G85" s="135" t="n">
        <x:v>2026</x:v>
      </x:c>
      <x:c r="H85" s="138" t="n">
        <x:v>36590</x:v>
      </x:c>
      <x:c r="I85" s="141" t="n">
        <x:v>17984</x:v>
      </x:c>
      <x:c r="J85" s="129" t="str">
        <x:v>Sedan</x:v>
      </x:c>
      <x:c r="K85" s="129" t="str">
        <x:v>FWD</x:v>
      </x:c>
      <x:c r="L85" s="129" t="str">
        <x:v>2.5L Turbo GDI I4</x:v>
      </x:c>
      <x:c r="M85" s="129" t="str">
        <x:v>Gasoline</x:v>
      </x:c>
      <x:c r="N85" s="129" t="str">
        <x:v>8-speed wet DCT</x:v>
      </x:c>
      <x:c r="O85" s="129" t="str">
        <x:v>Great Deal</x:v>
      </x:c>
      <x:c r="P85" s="129" t="str">
        <x:v>8th Generation Facelift</x:v>
      </x:c>
      <x:c r="Q85" s="144" t="str"/>
      <x:c r="R85" s="129" t="str">
        <x:v>Sonata N Line</x:v>
      </x:c>
      <x:c r="S85" s="129" t="str">
        <x:v>Mainstream Midsize</x:v>
      </x:c>
      <x:c r="T85" s="147" t="n">
        <x:f>2026-G85</x:f>
        <x:v>0</x:v>
      </x:c>
      <x:c r="U85" s="150" t="str">
        <x:f>IF(T85&gt;0,I85/T85,"")</x:f>
      </x:c>
      <x:c r="V85" s="129" t="str">
        <x:v>Performance Gasoline</x:v>
      </x:c>
      <x:c r="W85" s="129" t="str">
        <x:v>Yes</x:v>
      </x:c>
      <x:c r="X85" s="129" t="str">
        <x:v>Normal</x:v>
      </x:c>
      <x:c r="Y85" s="129" t="str">
        <x:f>IF(R85="AMG C43","No","Yes")</x:f>
        <x:v>Yes</x:v>
      </x:c>
      <x:c r="Z85" s="144" t="str">
        <x:f>IF(Y85="No","Excluded from final analysis: AMG performance model outside the predefined C300 candidate category.","")</x:f>
      </x:c>
    </x:row>
    <x:row r="86">
      <x:c r="A86" s="129" t="str">
        <x:v>SONN_004</x:v>
      </x:c>
      <x:c r="B86" s="132" t="n">
        <x:v>46233</x:v>
      </x:c>
      <x:c r="C86" s="129" t="str">
        <x:v>Guelph</x:v>
      </x:c>
      <x:c r="D86" s="129" t="str">
        <x:v>Hyundai</x:v>
      </x:c>
      <x:c r="E86" s="129" t="str">
        <x:v>Sonata N Line</x:v>
      </x:c>
      <x:c r="F86" s="129" t="str">
        <x:v>N Line</x:v>
      </x:c>
      <x:c r="G86" s="135" t="n">
        <x:v>2024</x:v>
      </x:c>
      <x:c r="H86" s="138" t="n">
        <x:v>28990</x:v>
      </x:c>
      <x:c r="I86" s="141" t="n">
        <x:v>46688</x:v>
      </x:c>
      <x:c r="J86" s="129" t="str">
        <x:v>Sedan</x:v>
      </x:c>
      <x:c r="K86" s="129" t="str">
        <x:v>FWD</x:v>
      </x:c>
      <x:c r="L86" s="129" t="str">
        <x:v>2.5L Turbo GDI I4</x:v>
      </x:c>
      <x:c r="M86" s="129" t="str">
        <x:v>Gasoline</x:v>
      </x:c>
      <x:c r="N86" s="129" t="str">
        <x:v>8-speed wet DCT</x:v>
      </x:c>
      <x:c r="O86" s="129" t="str">
        <x:v>Great Deal</x:v>
      </x:c>
      <x:c r="P86" s="129" t="str">
        <x:v>8th Generation Facelift</x:v>
      </x:c>
      <x:c r="Q86" s="144" t="str">
        <x:v>Price reduced by $1,001</x:v>
      </x:c>
      <x:c r="R86" s="129" t="str">
        <x:v>Sonata N Line</x:v>
      </x:c>
      <x:c r="S86" s="129" t="str">
        <x:v>Mainstream Midsize</x:v>
      </x:c>
      <x:c r="T86" s="147" t="n">
        <x:f>2026-G86</x:f>
        <x:v>2</x:v>
      </x:c>
      <x:c r="U86" s="150" t="n">
        <x:f>IF(T86&gt;0,I86/T86,"")</x:f>
        <x:v>23344</x:v>
      </x:c>
      <x:c r="V86" s="129" t="str">
        <x:v>Performance Gasoline</x:v>
      </x:c>
      <x:c r="W86" s="129" t="str">
        <x:v>Yes</x:v>
      </x:c>
      <x:c r="X86" s="129" t="str">
        <x:v>Normal</x:v>
      </x:c>
      <x:c r="Y86" s="129" t="str">
        <x:f>IF(R86="AMG C43","No","Yes")</x:f>
        <x:v>Yes</x:v>
      </x:c>
      <x:c r="Z86" s="144" t="str">
        <x:f>IF(Y86="No","Excluded from final analysis: AMG performance model outside the predefined C300 candidate category.","")</x:f>
      </x:c>
    </x:row>
    <x:row r="87">
      <x:c r="A87" s="129" t="str">
        <x:v>SONN_005</x:v>
      </x:c>
      <x:c r="B87" s="132" t="n">
        <x:v>46233</x:v>
      </x:c>
      <x:c r="C87" s="129" t="str">
        <x:v>Cambridge</x:v>
      </x:c>
      <x:c r="D87" s="129" t="str">
        <x:v>Hyundai</x:v>
      </x:c>
      <x:c r="E87" s="129" t="str">
        <x:v>Sonata N Line</x:v>
      </x:c>
      <x:c r="F87" s="129" t="str">
        <x:v>N Line</x:v>
      </x:c>
      <x:c r="G87" s="135" t="n">
        <x:v>2024</x:v>
      </x:c>
      <x:c r="H87" s="138" t="n">
        <x:v>29995</x:v>
      </x:c>
      <x:c r="I87" s="141" t="n">
        <x:v>22000</x:v>
      </x:c>
      <x:c r="J87" s="129" t="str">
        <x:v>Sedan</x:v>
      </x:c>
      <x:c r="K87" s="129" t="str">
        <x:v>FWD</x:v>
      </x:c>
      <x:c r="L87" s="129" t="str">
        <x:v>2.5L Turbo GDI I4</x:v>
      </x:c>
      <x:c r="M87" s="129" t="str">
        <x:v>Gasoline</x:v>
      </x:c>
      <x:c r="N87" s="129" t="str">
        <x:v>8-speed wet DCT</x:v>
      </x:c>
      <x:c r="O87" s="129" t="str">
        <x:v>Great Deal</x:v>
      </x:c>
      <x:c r="P87" s="129" t="str">
        <x:v>8th Generation Facelift</x:v>
      </x:c>
      <x:c r="Q87" s="144" t="str"/>
      <x:c r="R87" s="129" t="str">
        <x:v>Sonata N Line</x:v>
      </x:c>
      <x:c r="S87" s="129" t="str">
        <x:v>Mainstream Midsize</x:v>
      </x:c>
      <x:c r="T87" s="147" t="n">
        <x:f>2026-G87</x:f>
        <x:v>2</x:v>
      </x:c>
      <x:c r="U87" s="150" t="n">
        <x:f>IF(T87&gt;0,I87/T87,"")</x:f>
        <x:v>11000</x:v>
      </x:c>
      <x:c r="V87" s="129" t="str">
        <x:v>Performance Gasoline</x:v>
      </x:c>
      <x:c r="W87" s="129" t="str">
        <x:v>Yes</x:v>
      </x:c>
      <x:c r="X87" s="129" t="str">
        <x:v>Normal</x:v>
      </x:c>
      <x:c r="Y87" s="129" t="str">
        <x:f>IF(R87="AMG C43","No","Yes")</x:f>
        <x:v>Yes</x:v>
      </x:c>
      <x:c r="Z87" s="144" t="str">
        <x:f>IF(Y87="No","Excluded from final analysis: AMG performance model outside the predefined C300 candidate category.","")</x:f>
      </x:c>
    </x:row>
    <x:row r="88">
      <x:c r="A88" s="129" t="str">
        <x:v>SONN_006</x:v>
      </x:c>
      <x:c r="B88" s="132" t="n">
        <x:v>46233</x:v>
      </x:c>
      <x:c r="C88" s="129" t="str">
        <x:v>Mississauga</x:v>
      </x:c>
      <x:c r="D88" s="129" t="str">
        <x:v>Hyundai</x:v>
      </x:c>
      <x:c r="E88" s="129" t="str">
        <x:v>Sonata N Line</x:v>
      </x:c>
      <x:c r="F88" s="129" t="str">
        <x:v>N Line Ultimate</x:v>
      </x:c>
      <x:c r="G88" s="135" t="n">
        <x:v>2025</x:v>
      </x:c>
      <x:c r="H88" s="138" t="n">
        <x:v>34995</x:v>
      </x:c>
      <x:c r="I88" s="141" t="n">
        <x:v>9442</x:v>
      </x:c>
      <x:c r="J88" s="129" t="str">
        <x:v>Sedan</x:v>
      </x:c>
      <x:c r="K88" s="129" t="str">
        <x:v>FWD</x:v>
      </x:c>
      <x:c r="L88" s="129" t="str">
        <x:v>2.5L Turbo GDI I4</x:v>
      </x:c>
      <x:c r="M88" s="129" t="str">
        <x:v>Gasoline</x:v>
      </x:c>
      <x:c r="N88" s="129" t="str">
        <x:v>8-speed wet DCT</x:v>
      </x:c>
      <x:c r="O88" s="129" t="str">
        <x:v>Good Deal</x:v>
      </x:c>
      <x:c r="P88" s="129" t="str">
        <x:v>8th Generation Facelift</x:v>
      </x:c>
      <x:c r="Q88" s="144" t="str"/>
      <x:c r="R88" s="129" t="str">
        <x:v>Sonata N Line</x:v>
      </x:c>
      <x:c r="S88" s="129" t="str">
        <x:v>Mainstream Midsize</x:v>
      </x:c>
      <x:c r="T88" s="147" t="n">
        <x:f>2026-G88</x:f>
        <x:v>1</x:v>
      </x:c>
      <x:c r="U88" s="150" t="n">
        <x:f>IF(T88&gt;0,I88/T88,"")</x:f>
        <x:v>9442</x:v>
      </x:c>
      <x:c r="V88" s="129" t="str">
        <x:v>Performance Gasoline</x:v>
      </x:c>
      <x:c r="W88" s="129" t="str">
        <x:v>Yes</x:v>
      </x:c>
      <x:c r="X88" s="129" t="str">
        <x:v>Normal</x:v>
      </x:c>
      <x:c r="Y88" s="129" t="str">
        <x:f>IF(R88="AMG C43","No","Yes")</x:f>
        <x:v>Yes</x:v>
      </x:c>
      <x:c r="Z88" s="144" t="str">
        <x:f>IF(Y88="No","Excluded from final analysis: AMG performance model outside the predefined C300 candidate category.","")</x:f>
      </x:c>
    </x:row>
    <x:row r="89">
      <x:c r="A89" s="129" t="str">
        <x:v>SONN_007</x:v>
      </x:c>
      <x:c r="B89" s="132" t="n">
        <x:v>46233</x:v>
      </x:c>
      <x:c r="C89" s="129" t="str">
        <x:v>Exeter</x:v>
      </x:c>
      <x:c r="D89" s="129" t="str">
        <x:v>Hyundai</x:v>
      </x:c>
      <x:c r="E89" s="129" t="str">
        <x:v>Sonata N Line</x:v>
      </x:c>
      <x:c r="F89" s="129" t="str">
        <x:v>N Line</x:v>
      </x:c>
      <x:c r="G89" s="135" t="n">
        <x:v>2025</x:v>
      </x:c>
      <x:c r="H89" s="138" t="n">
        <x:v>25797</x:v>
      </x:c>
      <x:c r="I89" s="141" t="n">
        <x:v>67444</x:v>
      </x:c>
      <x:c r="J89" s="129" t="str">
        <x:v>Sedan</x:v>
      </x:c>
      <x:c r="K89" s="129" t="str">
        <x:v>FWD</x:v>
      </x:c>
      <x:c r="L89" s="129" t="str">
        <x:v>2.5L Turbo GDI I4</x:v>
      </x:c>
      <x:c r="M89" s="129" t="str">
        <x:v>Gasoline</x:v>
      </x:c>
      <x:c r="N89" s="129" t="str">
        <x:v>8-speed wet DCT</x:v>
      </x:c>
      <x:c r="O89" s="129" t="str">
        <x:v>Good Deal</x:v>
      </x:c>
      <x:c r="P89" s="129" t="str">
        <x:v>8th Generation Facelift</x:v>
      </x:c>
      <x:c r="Q89" s="144" t="str"/>
      <x:c r="R89" s="129" t="str">
        <x:v>Sonata N Line</x:v>
      </x:c>
      <x:c r="S89" s="129" t="str">
        <x:v>Mainstream Midsize</x:v>
      </x:c>
      <x:c r="T89" s="147" t="n">
        <x:f>2026-G89</x:f>
        <x:v>1</x:v>
      </x:c>
      <x:c r="U89" s="150" t="n">
        <x:f>IF(T89&gt;0,I89/T89,"")</x:f>
        <x:v>67444</x:v>
      </x:c>
      <x:c r="V89" s="129" t="str">
        <x:v>Performance Gasoline</x:v>
      </x:c>
      <x:c r="W89" s="129" t="str">
        <x:v>Yes</x:v>
      </x:c>
      <x:c r="X89" s="129" t="str">
        <x:v>Normal</x:v>
      </x:c>
      <x:c r="Y89" s="129" t="str">
        <x:f>IF(R89="AMG C43","No","Yes")</x:f>
        <x:v>Yes</x:v>
      </x:c>
      <x:c r="Z89" s="144" t="str">
        <x:f>IF(Y89="No","Excluded from final analysis: AMG performance model outside the predefined C300 candidate category.","")</x:f>
      </x:c>
    </x:row>
    <x:row r="90">
      <x:c r="A90" s="129" t="str">
        <x:v>CAMH_001</x:v>
      </x:c>
      <x:c r="B90" s="132" t="n">
        <x:v>46233</x:v>
      </x:c>
      <x:c r="C90" s="129" t="str">
        <x:v>Kitchener</x:v>
      </x:c>
      <x:c r="D90" s="129" t="str">
        <x:v>Toyota</x:v>
      </x:c>
      <x:c r="E90" s="129" t="str">
        <x:v>Camry Hybrid</x:v>
      </x:c>
      <x:c r="F90" s="129" t="str">
        <x:v>SE</x:v>
      </x:c>
      <x:c r="G90" s="135" t="n">
        <x:v>2022</x:v>
      </x:c>
      <x:c r="H90" s="138" t="n">
        <x:v>26880</x:v>
      </x:c>
      <x:c r="I90" s="141" t="n">
        <x:v>148937</x:v>
      </x:c>
      <x:c r="J90" s="129" t="str">
        <x:v>Sedan</x:v>
      </x:c>
      <x:c r="K90" s="129" t="str">
        <x:v>FWD</x:v>
      </x:c>
      <x:c r="L90" s="129" t="str">
        <x:v>2.5L I4 Hybrid</x:v>
      </x:c>
      <x:c r="M90" s="129" t="str">
        <x:v>Hybrid</x:v>
      </x:c>
      <x:c r="N90" s="129" t="str">
        <x:v>e-CVT</x:v>
      </x:c>
      <x:c r="O90" s="129" t="str">
        <x:v>Fair Deal</x:v>
      </x:c>
      <x:c r="P90" s="129" t="str">
        <x:v>8th Generation XV70</x:v>
      </x:c>
      <x:c r="Q90" s="144" t="str">
        <x:v>High mileage</x:v>
      </x:c>
      <x:c r="R90" s="129" t="str">
        <x:v>Camry Hybrid</x:v>
      </x:c>
      <x:c r="S90" s="129" t="str">
        <x:v>Mainstream Midsize</x:v>
      </x:c>
      <x:c r="T90" s="147" t="n">
        <x:f>2026-G90</x:f>
        <x:v>4</x:v>
      </x:c>
      <x:c r="U90" s="150" t="n">
        <x:f>IF(T90&gt;0,I90/T90,"")</x:f>
        <x:v>37234.25</x:v>
      </x:c>
      <x:c r="V90" s="129" t="str">
        <x:v>Hybrid</x:v>
      </x:c>
      <x:c r="W90" s="129" t="str">
        <x:v>No</x:v>
      </x:c>
      <x:c r="X90" s="129" t="str">
        <x:v>Very High</x:v>
      </x:c>
      <x:c r="Y90" s="129" t="str">
        <x:f>IF(R90="AMG C43","No","Yes")</x:f>
        <x:v>Yes</x:v>
      </x:c>
      <x:c r="Z90" s="144" t="str">
        <x:f>IF(Y90="No","Excluded from final analysis: AMG performance model outside the predefined C300 candidate category.","")</x:f>
      </x:c>
    </x:row>
    <x:row r="91">
      <x:c r="A91" s="129" t="str">
        <x:v>CAMH_002</x:v>
      </x:c>
      <x:c r="B91" s="132" t="n">
        <x:v>46233</x:v>
      </x:c>
      <x:c r="C91" s="129" t="str">
        <x:v>Cambridge</x:v>
      </x:c>
      <x:c r="D91" s="129" t="str">
        <x:v>Toyota</x:v>
      </x:c>
      <x:c r="E91" s="129" t="str">
        <x:v>Camry Hybrid</x:v>
      </x:c>
      <x:c r="F91" s="129" t="str">
        <x:v>SE</x:v>
      </x:c>
      <x:c r="G91" s="135" t="n">
        <x:v>2022</x:v>
      </x:c>
      <x:c r="H91" s="138" t="n">
        <x:v>28995</x:v>
      </x:c>
      <x:c r="I91" s="141" t="n">
        <x:v>96566</x:v>
      </x:c>
      <x:c r="J91" s="129" t="str">
        <x:v>Sedan</x:v>
      </x:c>
      <x:c r="K91" s="129" t="str">
        <x:v>FWD</x:v>
      </x:c>
      <x:c r="L91" s="129" t="str">
        <x:v>2.5L I4 Hybrid</x:v>
      </x:c>
      <x:c r="M91" s="129" t="str">
        <x:v>Hybrid</x:v>
      </x:c>
      <x:c r="N91" s="129" t="str">
        <x:v>e-CVT</x:v>
      </x:c>
      <x:c r="O91" s="129" t="str">
        <x:v>Good Deal</x:v>
      </x:c>
      <x:c r="P91" s="129" t="str">
        <x:v>8th Generation XV70</x:v>
      </x:c>
      <x:c r="Q91" s="144" t="str"/>
      <x:c r="R91" s="129" t="str">
        <x:v>Camry Hybrid</x:v>
      </x:c>
      <x:c r="S91" s="129" t="str">
        <x:v>Mainstream Midsize</x:v>
      </x:c>
      <x:c r="T91" s="147" t="n">
        <x:f>2026-G91</x:f>
        <x:v>4</x:v>
      </x:c>
      <x:c r="U91" s="150" t="n">
        <x:f>IF(T91&gt;0,I91/T91,"")</x:f>
        <x:v>24141.5</x:v>
      </x:c>
      <x:c r="V91" s="129" t="str">
        <x:v>Hybrid</x:v>
      </x:c>
      <x:c r="W91" s="129" t="str">
        <x:v>No</x:v>
      </x:c>
      <x:c r="X91" s="129" t="str">
        <x:v>Normal</x:v>
      </x:c>
      <x:c r="Y91" s="129" t="str">
        <x:f>IF(R91="AMG C43","No","Yes")</x:f>
        <x:v>Yes</x:v>
      </x:c>
      <x:c r="Z91" s="144" t="str">
        <x:f>IF(Y91="No","Excluded from final analysis: AMG performance model outside the predefined C300 candidate category.","")</x:f>
      </x:c>
    </x:row>
    <x:row r="92">
      <x:c r="A92" s="129" t="str">
        <x:v>CAMH_003</x:v>
      </x:c>
      <x:c r="B92" s="132" t="n">
        <x:v>46233</x:v>
      </x:c>
      <x:c r="C92" s="129" t="str">
        <x:v>Toronto</x:v>
      </x:c>
      <x:c r="D92" s="129" t="str">
        <x:v>Toyota</x:v>
      </x:c>
      <x:c r="E92" s="129" t="str">
        <x:v>Camry Hybrid</x:v>
      </x:c>
      <x:c r="F92" s="129" t="str">
        <x:v>XSE</x:v>
      </x:c>
      <x:c r="G92" s="135" t="n">
        <x:v>2022</x:v>
      </x:c>
      <x:c r="H92" s="138" t="n">
        <x:v>30300</x:v>
      </x:c>
      <x:c r="I92" s="141" t="n">
        <x:v>101161</x:v>
      </x:c>
      <x:c r="J92" s="129" t="str">
        <x:v>Sedan</x:v>
      </x:c>
      <x:c r="K92" s="129" t="str">
        <x:v>FWD</x:v>
      </x:c>
      <x:c r="L92" s="129" t="str">
        <x:v>2.5L I4 Hybrid</x:v>
      </x:c>
      <x:c r="M92" s="129" t="str">
        <x:v>Hybrid</x:v>
      </x:c>
      <x:c r="N92" s="129" t="str">
        <x:v>e-CVT</x:v>
      </x:c>
      <x:c r="O92" s="129" t="str">
        <x:v>Good Deal</x:v>
      </x:c>
      <x:c r="P92" s="129" t="str">
        <x:v>8th Generation XV70</x:v>
      </x:c>
      <x:c r="Q92" s="144" t="str"/>
      <x:c r="R92" s="129" t="str">
        <x:v>Camry Hybrid</x:v>
      </x:c>
      <x:c r="S92" s="129" t="str">
        <x:v>Mainstream Midsize</x:v>
      </x:c>
      <x:c r="T92" s="147" t="n">
        <x:f>2026-G92</x:f>
        <x:v>4</x:v>
      </x:c>
      <x:c r="U92" s="150" t="n">
        <x:f>IF(T92&gt;0,I92/T92,"")</x:f>
        <x:v>25290.25</x:v>
      </x:c>
      <x:c r="V92" s="129" t="str">
        <x:v>Hybrid</x:v>
      </x:c>
      <x:c r="W92" s="129" t="str">
        <x:v>No</x:v>
      </x:c>
      <x:c r="X92" s="129" t="str">
        <x:v>Normal</x:v>
      </x:c>
      <x:c r="Y92" s="129" t="str">
        <x:f>IF(R92="AMG C43","No","Yes")</x:f>
        <x:v>Yes</x:v>
      </x:c>
      <x:c r="Z92" s="144" t="str">
        <x:f>IF(Y92="No","Excluded from final analysis: AMG performance model outside the predefined C300 candidate category.","")</x:f>
      </x:c>
    </x:row>
    <x:row r="93">
      <x:c r="A93" s="129" t="str">
        <x:v>CAMH_004</x:v>
      </x:c>
      <x:c r="B93" s="132" t="n">
        <x:v>46233</x:v>
      </x:c>
      <x:c r="C93" s="129" t="str">
        <x:v>Chatham-Kent</x:v>
      </x:c>
      <x:c r="D93" s="129" t="str">
        <x:v>Toyota</x:v>
      </x:c>
      <x:c r="E93" s="129" t="str">
        <x:v>Camry Hybrid</x:v>
      </x:c>
      <x:c r="F93" s="129" t="str">
        <x:v>XSE</x:v>
      </x:c>
      <x:c r="G93" s="135" t="n">
        <x:v>2022</x:v>
      </x:c>
      <x:c r="H93" s="138" t="n">
        <x:v>35599</x:v>
      </x:c>
      <x:c r="I93" s="141" t="n">
        <x:v>39288</x:v>
      </x:c>
      <x:c r="J93" s="129" t="str">
        <x:v>Sedan</x:v>
      </x:c>
      <x:c r="K93" s="129" t="str">
        <x:v>FWD</x:v>
      </x:c>
      <x:c r="L93" s="129" t="str">
        <x:v>2.5L I4 Hybrid</x:v>
      </x:c>
      <x:c r="M93" s="129" t="str">
        <x:v>Hybrid</x:v>
      </x:c>
      <x:c r="N93" s="129" t="str">
        <x:v>e-CVT</x:v>
      </x:c>
      <x:c r="O93" s="129" t="str">
        <x:v>Good Deal</x:v>
      </x:c>
      <x:c r="P93" s="129" t="str">
        <x:v>8th Generation XV70</x:v>
      </x:c>
      <x:c r="Q93" s="144" t="str">
        <x:v>Certified Pre-Owned</x:v>
      </x:c>
      <x:c r="R93" s="129" t="str">
        <x:v>Camry Hybrid</x:v>
      </x:c>
      <x:c r="S93" s="129" t="str">
        <x:v>Mainstream Midsize</x:v>
      </x:c>
      <x:c r="T93" s="147" t="n">
        <x:f>2026-G93</x:f>
        <x:v>4</x:v>
      </x:c>
      <x:c r="U93" s="150" t="n">
        <x:f>IF(T93&gt;0,I93/T93,"")</x:f>
        <x:v>9822</x:v>
      </x:c>
      <x:c r="V93" s="129" t="str">
        <x:v>Hybrid</x:v>
      </x:c>
      <x:c r="W93" s="129" t="str">
        <x:v>No</x:v>
      </x:c>
      <x:c r="X93" s="129" t="str">
        <x:v>Normal</x:v>
      </x:c>
      <x:c r="Y93" s="129" t="str">
        <x:f>IF(R93="AMG C43","No","Yes")</x:f>
        <x:v>Yes</x:v>
      </x:c>
      <x:c r="Z93" s="144" t="str">
        <x:f>IF(Y93="No","Excluded from final analysis: AMG performance model outside the predefined C300 candidate category.","")</x:f>
      </x:c>
    </x:row>
    <x:row r="94">
      <x:c r="A94" s="129" t="str">
        <x:v>CAMH_005</x:v>
      </x:c>
      <x:c r="B94" s="132" t="n">
        <x:v>46233</x:v>
      </x:c>
      <x:c r="C94" s="129" t="str">
        <x:v>Toronto</x:v>
      </x:c>
      <x:c r="D94" s="129" t="str">
        <x:v>Toyota</x:v>
      </x:c>
      <x:c r="E94" s="129" t="str">
        <x:v>Camry Hybrid</x:v>
      </x:c>
      <x:c r="F94" s="129" t="str">
        <x:v>SE</x:v>
      </x:c>
      <x:c r="G94" s="135" t="n">
        <x:v>2022</x:v>
      </x:c>
      <x:c r="H94" s="138" t="n">
        <x:v>29900</x:v>
      </x:c>
      <x:c r="I94" s="141" t="n">
        <x:v>48406</x:v>
      </x:c>
      <x:c r="J94" s="129" t="str">
        <x:v>Sedan</x:v>
      </x:c>
      <x:c r="K94" s="129" t="str">
        <x:v>FWD</x:v>
      </x:c>
      <x:c r="L94" s="129" t="str">
        <x:v>2.5L I4 Hybrid</x:v>
      </x:c>
      <x:c r="M94" s="129" t="str">
        <x:v>Hybrid</x:v>
      </x:c>
      <x:c r="N94" s="129" t="str">
        <x:v>e-CVT</x:v>
      </x:c>
      <x:c r="O94" s="129" t="str">
        <x:v>Good Deal</x:v>
      </x:c>
      <x:c r="P94" s="129" t="str">
        <x:v>8th Generation XV70</x:v>
      </x:c>
      <x:c r="Q94" s="144" t="str">
        <x:v>Price reduced by $800</x:v>
      </x:c>
      <x:c r="R94" s="129" t="str">
        <x:v>Camry Hybrid</x:v>
      </x:c>
      <x:c r="S94" s="129" t="str">
        <x:v>Mainstream Midsize</x:v>
      </x:c>
      <x:c r="T94" s="147" t="n">
        <x:f>2026-G94</x:f>
        <x:v>4</x:v>
      </x:c>
      <x:c r="U94" s="150" t="n">
        <x:f>IF(T94&gt;0,I94/T94,"")</x:f>
        <x:v>12101.5</x:v>
      </x:c>
      <x:c r="V94" s="129" t="str">
        <x:v>Hybrid</x:v>
      </x:c>
      <x:c r="W94" s="129" t="str">
        <x:v>No</x:v>
      </x:c>
      <x:c r="X94" s="129" t="str">
        <x:v>Normal</x:v>
      </x:c>
      <x:c r="Y94" s="129" t="str">
        <x:f>IF(R94="AMG C43","No","Yes")</x:f>
        <x:v>Yes</x:v>
      </x:c>
      <x:c r="Z94" s="144" t="str">
        <x:f>IF(Y94="No","Excluded from final analysis: AMG performance model outside the predefined C300 candidate category.","")</x:f>
      </x:c>
    </x:row>
    <x:row r="95">
      <x:c r="A95" s="129" t="str">
        <x:v>CAMH_006</x:v>
      </x:c>
      <x:c r="B95" s="132" t="n">
        <x:v>46233</x:v>
      </x:c>
      <x:c r="C95" s="129" t="str">
        <x:v>Toronto</x:v>
      </x:c>
      <x:c r="D95" s="129" t="str">
        <x:v>Toyota</x:v>
      </x:c>
      <x:c r="E95" s="129" t="str">
        <x:v>Camry Hybrid</x:v>
      </x:c>
      <x:c r="F95" s="129" t="str">
        <x:v>SE</x:v>
      </x:c>
      <x:c r="G95" s="135" t="n">
        <x:v>2022</x:v>
      </x:c>
      <x:c r="H95" s="138" t="n">
        <x:v>27699</x:v>
      </x:c>
      <x:c r="I95" s="141" t="n">
        <x:v>96474</x:v>
      </x:c>
      <x:c r="J95" s="129" t="str">
        <x:v>Sedan</x:v>
      </x:c>
      <x:c r="K95" s="129" t="str">
        <x:v>FWD</x:v>
      </x:c>
      <x:c r="L95" s="129" t="str">
        <x:v>2.5L I4 Hybrid</x:v>
      </x:c>
      <x:c r="M95" s="129" t="str">
        <x:v>Hybrid</x:v>
      </x:c>
      <x:c r="N95" s="129" t="str">
        <x:v>e-CVT</x:v>
      </x:c>
      <x:c r="O95" s="129" t="str">
        <x:v>Good Deal</x:v>
      </x:c>
      <x:c r="P95" s="129" t="str">
        <x:v>8th Generation XV70</x:v>
      </x:c>
      <x:c r="Q95" s="144" t="str"/>
      <x:c r="R95" s="129" t="str">
        <x:v>Camry Hybrid</x:v>
      </x:c>
      <x:c r="S95" s="129" t="str">
        <x:v>Mainstream Midsize</x:v>
      </x:c>
      <x:c r="T95" s="147" t="n">
        <x:f>2026-G95</x:f>
        <x:v>4</x:v>
      </x:c>
      <x:c r="U95" s="150" t="n">
        <x:f>IF(T95&gt;0,I95/T95,"")</x:f>
        <x:v>24118.5</x:v>
      </x:c>
      <x:c r="V95" s="129" t="str">
        <x:v>Hybrid</x:v>
      </x:c>
      <x:c r="W95" s="129" t="str">
        <x:v>No</x:v>
      </x:c>
      <x:c r="X95" s="129" t="str">
        <x:v>Normal</x:v>
      </x:c>
      <x:c r="Y95" s="129" t="str">
        <x:f>IF(R95="AMG C43","No","Yes")</x:f>
        <x:v>Yes</x:v>
      </x:c>
      <x:c r="Z95" s="144" t="str">
        <x:f>IF(Y95="No","Excluded from final analysis: AMG performance model outside the predefined C300 candidate category.","")</x:f>
      </x:c>
    </x:row>
    <x:row r="96">
      <x:c r="A96" s="129" t="str">
        <x:v>CAMH_007</x:v>
      </x:c>
      <x:c r="B96" s="132" t="n">
        <x:v>46233</x:v>
      </x:c>
      <x:c r="C96" s="129" t="str">
        <x:v>North York</x:v>
      </x:c>
      <x:c r="D96" s="129" t="str">
        <x:v>Toyota</x:v>
      </x:c>
      <x:c r="E96" s="129" t="str">
        <x:v>Camry Hybrid</x:v>
      </x:c>
      <x:c r="F96" s="129" t="str">
        <x:v>SE</x:v>
      </x:c>
      <x:c r="G96" s="135" t="n">
        <x:v>2020</x:v>
      </x:c>
      <x:c r="H96" s="138" t="n">
        <x:v>25985</x:v>
      </x:c>
      <x:c r="I96" s="141" t="n">
        <x:v>80510</x:v>
      </x:c>
      <x:c r="J96" s="129" t="str">
        <x:v>Sedan</x:v>
      </x:c>
      <x:c r="K96" s="129" t="str">
        <x:v>FWD</x:v>
      </x:c>
      <x:c r="L96" s="129" t="str">
        <x:v>2.5L I4 Hybrid</x:v>
      </x:c>
      <x:c r="M96" s="129" t="str">
        <x:v>Hybrid</x:v>
      </x:c>
      <x:c r="N96" s="129" t="str">
        <x:v>e-CVT</x:v>
      </x:c>
      <x:c r="O96" s="129" t="str">
        <x:v>Good Deal</x:v>
      </x:c>
      <x:c r="P96" s="129" t="str">
        <x:v>8th Generation XV70</x:v>
      </x:c>
      <x:c r="Q96" s="144" t="str"/>
      <x:c r="R96" s="129" t="str">
        <x:v>Camry Hybrid</x:v>
      </x:c>
      <x:c r="S96" s="129" t="str">
        <x:v>Mainstream Midsize</x:v>
      </x:c>
      <x:c r="T96" s="147" t="n">
        <x:f>2026-G96</x:f>
        <x:v>6</x:v>
      </x:c>
      <x:c r="U96" s="150" t="n">
        <x:f>IF(T96&gt;0,I96/T96,"")</x:f>
        <x:v>13418.333333333334</x:v>
      </x:c>
      <x:c r="V96" s="129" t="str">
        <x:v>Hybrid</x:v>
      </x:c>
      <x:c r="W96" s="129" t="str">
        <x:v>No</x:v>
      </x:c>
      <x:c r="X96" s="129" t="str">
        <x:v>Normal</x:v>
      </x:c>
      <x:c r="Y96" s="129" t="str">
        <x:f>IF(R96="AMG C43","No","Yes")</x:f>
        <x:v>Yes</x:v>
      </x:c>
      <x:c r="Z96" s="144" t="str">
        <x:f>IF(Y96="No","Excluded from final analysis: AMG performance model outside the predefined C300 candidate category.","")</x:f>
      </x:c>
    </x:row>
    <x:row r="97">
      <x:c r="A97" s="129" t="str">
        <x:v>CAMH_008</x:v>
      </x:c>
      <x:c r="B97" s="132" t="n">
        <x:v>46233</x:v>
      </x:c>
      <x:c r="C97" s="129" t="str">
        <x:v>Toronto</x:v>
      </x:c>
      <x:c r="D97" s="129" t="str">
        <x:v>Toyota</x:v>
      </x:c>
      <x:c r="E97" s="129" t="str">
        <x:v>Camry Hybrid</x:v>
      </x:c>
      <x:c r="F97" s="129" t="str">
        <x:v>XSE</x:v>
      </x:c>
      <x:c r="G97" s="135" t="n">
        <x:v>2022</x:v>
      </x:c>
      <x:c r="H97" s="138" t="n">
        <x:v>31995</x:v>
      </x:c>
      <x:c r="I97" s="141" t="n">
        <x:v>84384</x:v>
      </x:c>
      <x:c r="J97" s="129" t="str">
        <x:v>Sedan</x:v>
      </x:c>
      <x:c r="K97" s="129" t="str">
        <x:v>FWD</x:v>
      </x:c>
      <x:c r="L97" s="129" t="str">
        <x:v>2.5L I4 Hybrid</x:v>
      </x:c>
      <x:c r="M97" s="129" t="str">
        <x:v>Hybrid</x:v>
      </x:c>
      <x:c r="N97" s="129" t="str">
        <x:v>e-CVT</x:v>
      </x:c>
      <x:c r="O97" s="129" t="str">
        <x:v>Good Deal</x:v>
      </x:c>
      <x:c r="P97" s="129" t="str">
        <x:v>8th Generation XV70</x:v>
      </x:c>
      <x:c r="Q97" s="144" t="str"/>
      <x:c r="R97" s="129" t="str">
        <x:v>Camry Hybrid</x:v>
      </x:c>
      <x:c r="S97" s="129" t="str">
        <x:v>Mainstream Midsize</x:v>
      </x:c>
      <x:c r="T97" s="147" t="n">
        <x:f>2026-G97</x:f>
        <x:v>4</x:v>
      </x:c>
      <x:c r="U97" s="150" t="n">
        <x:f>IF(T97&gt;0,I97/T97,"")</x:f>
        <x:v>21096</x:v>
      </x:c>
      <x:c r="V97" s="129" t="str">
        <x:v>Hybrid</x:v>
      </x:c>
      <x:c r="W97" s="129" t="str">
        <x:v>No</x:v>
      </x:c>
      <x:c r="X97" s="129" t="str">
        <x:v>Normal</x:v>
      </x:c>
      <x:c r="Y97" s="129" t="str">
        <x:f>IF(R97="AMG C43","No","Yes")</x:f>
        <x:v>Yes</x:v>
      </x:c>
      <x:c r="Z97" s="144" t="str">
        <x:f>IF(Y97="No","Excluded from final analysis: AMG performance model outside the predefined C300 candidate category.","")</x:f>
      </x:c>
    </x:row>
    <x:row r="98">
      <x:c r="A98" s="129" t="str">
        <x:v>CAMH_009</x:v>
      </x:c>
      <x:c r="B98" s="132" t="n">
        <x:v>46233</x:v>
      </x:c>
      <x:c r="C98" s="129" t="str">
        <x:v>Not recorded</x:v>
      </x:c>
      <x:c r="D98" s="129" t="str">
        <x:v>Toyota</x:v>
      </x:c>
      <x:c r="E98" s="129" t="str">
        <x:v>Camry Hybrid</x:v>
      </x:c>
      <x:c r="F98" s="129" t="str">
        <x:v>SE</x:v>
      </x:c>
      <x:c r="G98" s="135" t="n">
        <x:v>2023</x:v>
      </x:c>
      <x:c r="H98" s="138" t="n">
        <x:v>25190</x:v>
      </x:c>
      <x:c r="I98" s="141" t="n">
        <x:v>146742</x:v>
      </x:c>
      <x:c r="J98" s="129" t="str">
        <x:v>Sedan</x:v>
      </x:c>
      <x:c r="K98" s="129" t="str">
        <x:v>FWD</x:v>
      </x:c>
      <x:c r="L98" s="129" t="str">
        <x:v>2.5L I4 Hybrid</x:v>
      </x:c>
      <x:c r="M98" s="129" t="str">
        <x:v>Hybrid</x:v>
      </x:c>
      <x:c r="N98" s="129" t="str">
        <x:v>e-CVT</x:v>
      </x:c>
      <x:c r="O98" s="129" t="str">
        <x:v>Good Deal</x:v>
      </x:c>
      <x:c r="P98" s="129" t="str">
        <x:v>8th Generation XV70</x:v>
      </x:c>
      <x:c r="Q98" s="144" t="str">
        <x:v>High mileage</x:v>
      </x:c>
      <x:c r="R98" s="129" t="str">
        <x:v>Camry Hybrid</x:v>
      </x:c>
      <x:c r="S98" s="129" t="str">
        <x:v>Mainstream Midsize</x:v>
      </x:c>
      <x:c r="T98" s="147" t="n">
        <x:f>2026-G98</x:f>
        <x:v>3</x:v>
      </x:c>
      <x:c r="U98" s="150" t="n">
        <x:f>IF(T98&gt;0,I98/T98,"")</x:f>
        <x:v>48914</x:v>
      </x:c>
      <x:c r="V98" s="129" t="str">
        <x:v>Hybrid</x:v>
      </x:c>
      <x:c r="W98" s="129" t="str">
        <x:v>No</x:v>
      </x:c>
      <x:c r="X98" s="129" t="str">
        <x:v>Very High</x:v>
      </x:c>
      <x:c r="Y98" s="129" t="str">
        <x:f>IF(R98="AMG C43","No","Yes")</x:f>
        <x:v>Yes</x:v>
      </x:c>
      <x:c r="Z98" s="144" t="str">
        <x:f>IF(Y98="No","Excluded from final analysis: AMG performance model outside the predefined C300 candidate category.","")</x:f>
      </x:c>
    </x:row>
    <x:row r="99">
      <x:c r="A99" s="129" t="str">
        <x:v>CAMH_010</x:v>
      </x:c>
      <x:c r="B99" s="132" t="n">
        <x:v>46233</x:v>
      </x:c>
      <x:c r="C99" s="129" t="str">
        <x:v>Toronto</x:v>
      </x:c>
      <x:c r="D99" s="129" t="str">
        <x:v>Toyota</x:v>
      </x:c>
      <x:c r="E99" s="129" t="str">
        <x:v>Camry Hybrid</x:v>
      </x:c>
      <x:c r="F99" s="129" t="str">
        <x:v>SE</x:v>
      </x:c>
      <x:c r="G99" s="135" t="n">
        <x:v>2020</x:v>
      </x:c>
      <x:c r="H99" s="138" t="n">
        <x:v>19998</x:v>
      </x:c>
      <x:c r="I99" s="141" t="n">
        <x:v>215125</x:v>
      </x:c>
      <x:c r="J99" s="129" t="str">
        <x:v>Sedan</x:v>
      </x:c>
      <x:c r="K99" s="129" t="str">
        <x:v>FWD</x:v>
      </x:c>
      <x:c r="L99" s="129" t="str">
        <x:v>2.5L I4 Hybrid</x:v>
      </x:c>
      <x:c r="M99" s="129" t="str">
        <x:v>Hybrid</x:v>
      </x:c>
      <x:c r="N99" s="129" t="str">
        <x:v>e-CVT</x:v>
      </x:c>
      <x:c r="O99" s="129" t="str">
        <x:v>Good Deal</x:v>
      </x:c>
      <x:c r="P99" s="129" t="str">
        <x:v>8th Generation XV70</x:v>
      </x:c>
      <x:c r="Q99" s="144" t="str">
        <x:v>Unusually high mileage</x:v>
      </x:c>
      <x:c r="R99" s="129" t="str">
        <x:v>Camry Hybrid</x:v>
      </x:c>
      <x:c r="S99" s="129" t="str">
        <x:v>Mainstream Midsize</x:v>
      </x:c>
      <x:c r="T99" s="147" t="n">
        <x:f>2026-G99</x:f>
        <x:v>6</x:v>
      </x:c>
      <x:c r="U99" s="150" t="n">
        <x:f>IF(T99&gt;0,I99/T99,"")</x:f>
        <x:v>35854.166666666664</x:v>
      </x:c>
      <x:c r="V99" s="129" t="str">
        <x:v>Hybrid</x:v>
      </x:c>
      <x:c r="W99" s="129" t="str">
        <x:v>No</x:v>
      </x:c>
      <x:c r="X99" s="129" t="str">
        <x:v>Very High</x:v>
      </x:c>
      <x:c r="Y99" s="129" t="str">
        <x:f>IF(R99="AMG C43","No","Yes")</x:f>
        <x:v>Yes</x:v>
      </x:c>
      <x:c r="Z99" s="144" t="str">
        <x:f>IF(Y99="No","Excluded from final analysis: AMG performance model outside the predefined C300 candidate category.","")</x:f>
      </x:c>
    </x:row>
    <x:row r="100">
      <x:c r="A100" s="129" t="str">
        <x:v>CAMH_011</x:v>
      </x:c>
      <x:c r="B100" s="132" t="n">
        <x:v>46233</x:v>
      </x:c>
      <x:c r="C100" s="129" t="str">
        <x:v>Scarborough</x:v>
      </x:c>
      <x:c r="D100" s="129" t="str">
        <x:v>Toyota</x:v>
      </x:c>
      <x:c r="E100" s="129" t="str">
        <x:v>Camry Hybrid</x:v>
      </x:c>
      <x:c r="F100" s="129" t="str">
        <x:v>XSE</x:v>
      </x:c>
      <x:c r="G100" s="135" t="n">
        <x:v>2022</x:v>
      </x:c>
      <x:c r="H100" s="138" t="n">
        <x:v>32988</x:v>
      </x:c>
      <x:c r="I100" s="141" t="n">
        <x:v>71295</x:v>
      </x:c>
      <x:c r="J100" s="129" t="str">
        <x:v>Sedan</x:v>
      </x:c>
      <x:c r="K100" s="129" t="str">
        <x:v>FWD</x:v>
      </x:c>
      <x:c r="L100" s="129" t="str">
        <x:v>2.5L I4 Hybrid</x:v>
      </x:c>
      <x:c r="M100" s="129" t="str">
        <x:v>Hybrid</x:v>
      </x:c>
      <x:c r="N100" s="129" t="str">
        <x:v>e-CVT</x:v>
      </x:c>
      <x:c r="O100" s="129" t="str">
        <x:v>Good Deal</x:v>
      </x:c>
      <x:c r="P100" s="129" t="str">
        <x:v>8th Generation XV70</x:v>
      </x:c>
      <x:c r="Q100" s="144" t="str"/>
      <x:c r="R100" s="129" t="str">
        <x:v>Camry Hybrid</x:v>
      </x:c>
      <x:c r="S100" s="129" t="str">
        <x:v>Mainstream Midsize</x:v>
      </x:c>
      <x:c r="T100" s="147" t="n">
        <x:f>2026-G100</x:f>
        <x:v>4</x:v>
      </x:c>
      <x:c r="U100" s="150" t="n">
        <x:f>IF(T100&gt;0,I100/T100,"")</x:f>
        <x:v>17823.75</x:v>
      </x:c>
      <x:c r="V100" s="129" t="str">
        <x:v>Hybrid</x:v>
      </x:c>
      <x:c r="W100" s="129" t="str">
        <x:v>No</x:v>
      </x:c>
      <x:c r="X100" s="129" t="str">
        <x:v>Normal</x:v>
      </x:c>
      <x:c r="Y100" s="129" t="str">
        <x:f>IF(R100="AMG C43","No","Yes")</x:f>
        <x:v>Yes</x:v>
      </x:c>
      <x:c r="Z100" s="144" t="str">
        <x:f>IF(Y100="No","Excluded from final analysis: AMG performance model outside the predefined C300 candidate category.","")</x:f>
      </x:c>
    </x:row>
    <x:row r="101">
      <x:c r="A101" s="129" t="str">
        <x:v>CAMH_012</x:v>
      </x:c>
      <x:c r="B101" s="132" t="n">
        <x:v>46233</x:v>
      </x:c>
      <x:c r="C101" s="129" t="str">
        <x:v>Mississauga</x:v>
      </x:c>
      <x:c r="D101" s="129" t="str">
        <x:v>Toyota</x:v>
      </x:c>
      <x:c r="E101" s="129" t="str">
        <x:v>Camry Hybrid</x:v>
      </x:c>
      <x:c r="F101" s="129" t="str">
        <x:v>SE</x:v>
      </x:c>
      <x:c r="G101" s="135" t="n">
        <x:v>2020</x:v>
      </x:c>
      <x:c r="H101" s="138" t="n">
        <x:v>28990</x:v>
      </x:c>
      <x:c r="I101" s="141" t="n">
        <x:v>26300</x:v>
      </x:c>
      <x:c r="J101" s="129" t="str">
        <x:v>Sedan</x:v>
      </x:c>
      <x:c r="K101" s="129" t="str">
        <x:v>FWD</x:v>
      </x:c>
      <x:c r="L101" s="129" t="str">
        <x:v>2.5L I4 Hybrid</x:v>
      </x:c>
      <x:c r="M101" s="129" t="str">
        <x:v>Hybrid</x:v>
      </x:c>
      <x:c r="N101" s="129" t="str">
        <x:v>e-CVT</x:v>
      </x:c>
      <x:c r="O101" s="129" t="str">
        <x:v>Good Deal</x:v>
      </x:c>
      <x:c r="P101" s="129" t="str">
        <x:v>8th Generation XV70</x:v>
      </x:c>
      <x:c r="Q101" s="144" t="str"/>
      <x:c r="R101" s="129" t="str">
        <x:v>Camry Hybrid</x:v>
      </x:c>
      <x:c r="S101" s="129" t="str">
        <x:v>Mainstream Midsize</x:v>
      </x:c>
      <x:c r="T101" s="147" t="n">
        <x:f>2026-G101</x:f>
        <x:v>6</x:v>
      </x:c>
      <x:c r="U101" s="150" t="n">
        <x:f>IF(T101&gt;0,I101/T101,"")</x:f>
        <x:v>4383.333333333333</x:v>
      </x:c>
      <x:c r="V101" s="129" t="str">
        <x:v>Hybrid</x:v>
      </x:c>
      <x:c r="W101" s="129" t="str">
        <x:v>No</x:v>
      </x:c>
      <x:c r="X101" s="129" t="str">
        <x:v>Normal</x:v>
      </x:c>
      <x:c r="Y101" s="129" t="str">
        <x:f>IF(R101="AMG C43","No","Yes")</x:f>
        <x:v>Yes</x:v>
      </x:c>
      <x:c r="Z101" s="144" t="str">
        <x:f>IF(Y101="No","Excluded from final analysis: AMG performance model outside the predefined C300 candidate category.","")</x:f>
      </x:c>
    </x:row>
    <x:row r="102">
      <x:c r="A102" s="129" t="str">
        <x:v>CAMH_013</x:v>
      </x:c>
      <x:c r="B102" s="132" t="n">
        <x:v>46233</x:v>
      </x:c>
      <x:c r="C102" s="129" t="str">
        <x:v>Simcoe</x:v>
      </x:c>
      <x:c r="D102" s="129" t="str">
        <x:v>Toyota</x:v>
      </x:c>
      <x:c r="E102" s="129" t="str">
        <x:v>Camry Hybrid</x:v>
      </x:c>
      <x:c r="F102" s="129" t="str">
        <x:v>SE</x:v>
      </x:c>
      <x:c r="G102" s="135" t="n">
        <x:v>2020</x:v>
      </x:c>
      <x:c r="H102" s="138" t="n">
        <x:v>26995</x:v>
      </x:c>
      <x:c r="I102" s="141" t="n">
        <x:v>69256</x:v>
      </x:c>
      <x:c r="J102" s="129" t="str">
        <x:v>Sedan</x:v>
      </x:c>
      <x:c r="K102" s="129" t="str">
        <x:v>FWD</x:v>
      </x:c>
      <x:c r="L102" s="129" t="str">
        <x:v>2.5L I4 Hybrid</x:v>
      </x:c>
      <x:c r="M102" s="129" t="str">
        <x:v>Hybrid</x:v>
      </x:c>
      <x:c r="N102" s="129" t="str">
        <x:v>e-CVT</x:v>
      </x:c>
      <x:c r="O102" s="129" t="str">
        <x:v>Good Deal</x:v>
      </x:c>
      <x:c r="P102" s="129" t="str">
        <x:v>8th Generation XV70</x:v>
      </x:c>
      <x:c r="Q102" s="144" t="str"/>
      <x:c r="R102" s="129" t="str">
        <x:v>Camry Hybrid</x:v>
      </x:c>
      <x:c r="S102" s="129" t="str">
        <x:v>Mainstream Midsize</x:v>
      </x:c>
      <x:c r="T102" s="147" t="n">
        <x:f>2026-G102</x:f>
        <x:v>6</x:v>
      </x:c>
      <x:c r="U102" s="150" t="n">
        <x:f>IF(T102&gt;0,I102/T102,"")</x:f>
        <x:v>11542.666666666666</x:v>
      </x:c>
      <x:c r="V102" s="129" t="str">
        <x:v>Hybrid</x:v>
      </x:c>
      <x:c r="W102" s="129" t="str">
        <x:v>No</x:v>
      </x:c>
      <x:c r="X102" s="129" t="str">
        <x:v>Normal</x:v>
      </x:c>
      <x:c r="Y102" s="129" t="str">
        <x:f>IF(R102="AMG C43","No","Yes")</x:f>
        <x:v>Yes</x:v>
      </x:c>
      <x:c r="Z102" s="144" t="str">
        <x:f>IF(Y102="No","Excluded from final analysis: AMG performance model outside the predefined C300 candidate category.","")</x:f>
      </x:c>
    </x:row>
    <x:row r="103">
      <x:c r="A103" s="129" t="str">
        <x:v>CAMH_014</x:v>
      </x:c>
      <x:c r="B103" s="132" t="n">
        <x:v>46233</x:v>
      </x:c>
      <x:c r="C103" s="129" t="str">
        <x:v>Barrie</x:v>
      </x:c>
      <x:c r="D103" s="129" t="str">
        <x:v>Toyota</x:v>
      </x:c>
      <x:c r="E103" s="129" t="str">
        <x:v>Camry Hybrid</x:v>
      </x:c>
      <x:c r="F103" s="129" t="str">
        <x:v>LE</x:v>
      </x:c>
      <x:c r="G103" s="135" t="n">
        <x:v>2024</x:v>
      </x:c>
      <x:c r="H103" s="138" t="n">
        <x:v>31980</x:v>
      </x:c>
      <x:c r="I103" s="141" t="n">
        <x:v>64729</x:v>
      </x:c>
      <x:c r="J103" s="129" t="str">
        <x:v>Sedan</x:v>
      </x:c>
      <x:c r="K103" s="129" t="str">
        <x:v>FWD</x:v>
      </x:c>
      <x:c r="L103" s="129" t="str">
        <x:v>2.5L I4 Hybrid</x:v>
      </x:c>
      <x:c r="M103" s="129" t="str">
        <x:v>Hybrid</x:v>
      </x:c>
      <x:c r="N103" s="129" t="str">
        <x:v>e-CVT</x:v>
      </x:c>
      <x:c r="O103" s="129" t="str">
        <x:v>Good Deal</x:v>
      </x:c>
      <x:c r="P103" s="129" t="str">
        <x:v>8th Generation XV70</x:v>
      </x:c>
      <x:c r="Q103" s="144" t="str"/>
      <x:c r="R103" s="129" t="str">
        <x:v>Camry Hybrid</x:v>
      </x:c>
      <x:c r="S103" s="129" t="str">
        <x:v>Mainstream Midsize</x:v>
      </x:c>
      <x:c r="T103" s="147" t="n">
        <x:f>2026-G103</x:f>
        <x:v>2</x:v>
      </x:c>
      <x:c r="U103" s="150" t="n">
        <x:f>IF(T103&gt;0,I103/T103,"")</x:f>
        <x:v>32364.5</x:v>
      </x:c>
      <x:c r="V103" s="129" t="str">
        <x:v>Hybrid</x:v>
      </x:c>
      <x:c r="W103" s="129" t="str">
        <x:v>No</x:v>
      </x:c>
      <x:c r="X103" s="129" t="str">
        <x:v>Normal</x:v>
      </x:c>
      <x:c r="Y103" s="129" t="str">
        <x:f>IF(R103="AMG C43","No","Yes")</x:f>
        <x:v>Yes</x:v>
      </x:c>
      <x:c r="Z103" s="144" t="str">
        <x:f>IF(Y103="No","Excluded from final analysis: AMG performance model outside the predefined C300 candidate category.","")</x:f>
      </x:c>
    </x:row>
    <x:row r="104">
      <x:c r="A104" s="129" t="str">
        <x:v>CAMH_015</x:v>
      </x:c>
      <x:c r="B104" s="132" t="n">
        <x:v>46233</x:v>
      </x:c>
      <x:c r="C104" s="129" t="str">
        <x:v>Hamilton</x:v>
      </x:c>
      <x:c r="D104" s="129" t="str">
        <x:v>Toyota</x:v>
      </x:c>
      <x:c r="E104" s="129" t="str">
        <x:v>Camry Hybrid</x:v>
      </x:c>
      <x:c r="F104" s="129" t="str">
        <x:v>Not recorded</x:v>
      </x:c>
      <x:c r="G104" s="135" t="n">
        <x:v>2021</x:v>
      </x:c>
      <x:c r="H104" s="138" t="n">
        <x:v>29900</x:v>
      </x:c>
      <x:c r="I104" s="141" t="n">
        <x:v>59862</x:v>
      </x:c>
      <x:c r="J104" s="129" t="str">
        <x:v>Sedan</x:v>
      </x:c>
      <x:c r="K104" s="129" t="str">
        <x:v>FWD</x:v>
      </x:c>
      <x:c r="L104" s="129" t="str">
        <x:v>2.5L I4 Hybrid</x:v>
      </x:c>
      <x:c r="M104" s="129" t="str">
        <x:v>Hybrid</x:v>
      </x:c>
      <x:c r="N104" s="129" t="str">
        <x:v>e-CVT</x:v>
      </x:c>
      <x:c r="O104" s="129" t="str">
        <x:v>Fair Deal</x:v>
      </x:c>
      <x:c r="P104" s="129" t="str">
        <x:v>8th Generation XV70</x:v>
      </x:c>
      <x:c r="Q104" s="144" t="str">
        <x:v>Trim not displayed</x:v>
      </x:c>
      <x:c r="R104" s="129" t="str">
        <x:v>Camry Hybrid</x:v>
      </x:c>
      <x:c r="S104" s="129" t="str">
        <x:v>Mainstream Midsize</x:v>
      </x:c>
      <x:c r="T104" s="147" t="n">
        <x:f>2026-G104</x:f>
        <x:v>5</x:v>
      </x:c>
      <x:c r="U104" s="150" t="n">
        <x:f>IF(T104&gt;0,I104/T104,"")</x:f>
        <x:v>11972.4</x:v>
      </x:c>
      <x:c r="V104" s="129" t="str">
        <x:v>Hybrid</x:v>
      </x:c>
      <x:c r="W104" s="129" t="str">
        <x:v>No</x:v>
      </x:c>
      <x:c r="X104" s="129" t="str">
        <x:v>Normal</x:v>
      </x:c>
      <x:c r="Y104" s="129" t="str">
        <x:f>IF(R104="AMG C43","No","Yes")</x:f>
        <x:v>Yes</x:v>
      </x:c>
      <x:c r="Z104" s="144" t="str">
        <x:f>IF(Y104="No","Excluded from final analysis: AMG performance model outside the predefined C300 candidate category.","")</x:f>
      </x:c>
    </x:row>
    <x:row r="105">
      <x:c r="A105" s="129" t="str">
        <x:v>CAMH_016</x:v>
      </x:c>
      <x:c r="B105" s="132" t="n">
        <x:v>46233</x:v>
      </x:c>
      <x:c r="C105" s="129" t="str">
        <x:v>North York</x:v>
      </x:c>
      <x:c r="D105" s="129" t="str">
        <x:v>Toyota</x:v>
      </x:c>
      <x:c r="E105" s="129" t="str">
        <x:v>Camry Hybrid</x:v>
      </x:c>
      <x:c r="F105" s="129" t="str">
        <x:v>SE</x:v>
      </x:c>
      <x:c r="G105" s="135" t="n">
        <x:v>2023</x:v>
      </x:c>
      <x:c r="H105" s="138" t="n">
        <x:v>28850</x:v>
      </x:c>
      <x:c r="I105" s="141" t="n">
        <x:v>127000</x:v>
      </x:c>
      <x:c r="J105" s="129" t="str">
        <x:v>Sedan</x:v>
      </x:c>
      <x:c r="K105" s="129" t="str">
        <x:v>FWD</x:v>
      </x:c>
      <x:c r="L105" s="129" t="str">
        <x:v>2.5L I4 Hybrid</x:v>
      </x:c>
      <x:c r="M105" s="129" t="str">
        <x:v>Hybrid</x:v>
      </x:c>
      <x:c r="N105" s="129" t="str">
        <x:v>e-CVT</x:v>
      </x:c>
      <x:c r="O105" s="129" t="str">
        <x:v>Fair Deal</x:v>
      </x:c>
      <x:c r="P105" s="129" t="str">
        <x:v>8th Generation XV70</x:v>
      </x:c>
      <x:c r="Q105" s="144" t="str">
        <x:v>High mileage</x:v>
      </x:c>
      <x:c r="R105" s="129" t="str">
        <x:v>Camry Hybrid</x:v>
      </x:c>
      <x:c r="S105" s="129" t="str">
        <x:v>Mainstream Midsize</x:v>
      </x:c>
      <x:c r="T105" s="147" t="n">
        <x:f>2026-G105</x:f>
        <x:v>3</x:v>
      </x:c>
      <x:c r="U105" s="150" t="n">
        <x:f>IF(T105&gt;0,I105/T105,"")</x:f>
        <x:v>42333.333333333336</x:v>
      </x:c>
      <x:c r="V105" s="129" t="str">
        <x:v>Hybrid</x:v>
      </x:c>
      <x:c r="W105" s="129" t="str">
        <x:v>No</x:v>
      </x:c>
      <x:c r="X105" s="129" t="str">
        <x:v>Normal</x:v>
      </x:c>
      <x:c r="Y105" s="129" t="str">
        <x:f>IF(R105="AMG C43","No","Yes")</x:f>
        <x:v>Yes</x:v>
      </x:c>
      <x:c r="Z105" s="144" t="str">
        <x:f>IF(Y105="No","Excluded from final analysis: AMG performance model outside the predefined C300 candidate category.","")</x:f>
      </x:c>
    </x:row>
    <x:row r="106">
      <x:c r="A106" s="129" t="str">
        <x:v>CAMH_017</x:v>
      </x:c>
      <x:c r="B106" s="132" t="n">
        <x:v>46233</x:v>
      </x:c>
      <x:c r="C106" s="129" t="str">
        <x:v>Burlington</x:v>
      </x:c>
      <x:c r="D106" s="129" t="str">
        <x:v>Toyota</x:v>
      </x:c>
      <x:c r="E106" s="129" t="str">
        <x:v>Camry Hybrid</x:v>
      </x:c>
      <x:c r="F106" s="129" t="str">
        <x:v>XSE</x:v>
      </x:c>
      <x:c r="G106" s="135" t="n">
        <x:v>2022</x:v>
      </x:c>
      <x:c r="H106" s="138" t="n">
        <x:v>27495</x:v>
      </x:c>
      <x:c r="I106" s="141" t="n">
        <x:v>177480</x:v>
      </x:c>
      <x:c r="J106" s="129" t="str">
        <x:v>Sedan</x:v>
      </x:c>
      <x:c r="K106" s="129" t="str">
        <x:v>FWD</x:v>
      </x:c>
      <x:c r="L106" s="129" t="str">
        <x:v>2.5L I4 Hybrid</x:v>
      </x:c>
      <x:c r="M106" s="129" t="str">
        <x:v>Hybrid</x:v>
      </x:c>
      <x:c r="N106" s="129" t="str">
        <x:v>e-CVT</x:v>
      </x:c>
      <x:c r="O106" s="129" t="str">
        <x:v>Fair Deal</x:v>
      </x:c>
      <x:c r="P106" s="129" t="str">
        <x:v>8th Generation XV70</x:v>
      </x:c>
      <x:c r="Q106" s="144" t="str">
        <x:v>Unusually high mileage</x:v>
      </x:c>
      <x:c r="R106" s="129" t="str">
        <x:v>Camry Hybrid</x:v>
      </x:c>
      <x:c r="S106" s="129" t="str">
        <x:v>Mainstream Midsize</x:v>
      </x:c>
      <x:c r="T106" s="147" t="n">
        <x:f>2026-G106</x:f>
        <x:v>4</x:v>
      </x:c>
      <x:c r="U106" s="150" t="n">
        <x:f>IF(T106&gt;0,I106/T106,"")</x:f>
        <x:v>44370</x:v>
      </x:c>
      <x:c r="V106" s="129" t="str">
        <x:v>Hybrid</x:v>
      </x:c>
      <x:c r="W106" s="129" t="str">
        <x:v>No</x:v>
      </x:c>
      <x:c r="X106" s="129" t="str">
        <x:v>Very High</x:v>
      </x:c>
      <x:c r="Y106" s="129" t="str">
        <x:f>IF(R106="AMG C43","No","Yes")</x:f>
        <x:v>Yes</x:v>
      </x:c>
      <x:c r="Z106" s="144" t="str">
        <x:f>IF(Y106="No","Excluded from final analysis: AMG performance model outside the predefined C300 candidate category.","")</x:f>
      </x:c>
    </x:row>
    <x:row r="107">
      <x:c r="A107" s="129" t="str">
        <x:v>CAMH_018</x:v>
      </x:c>
      <x:c r="B107" s="132" t="n">
        <x:v>46233</x:v>
      </x:c>
      <x:c r="C107" s="129" t="str">
        <x:v>Whitby</x:v>
      </x:c>
      <x:c r="D107" s="129" t="str">
        <x:v>Toyota</x:v>
      </x:c>
      <x:c r="E107" s="129" t="str">
        <x:v>Camry Hybrid</x:v>
      </x:c>
      <x:c r="F107" s="129" t="str">
        <x:v>SE</x:v>
      </x:c>
      <x:c r="G107" s="135" t="n">
        <x:v>2024</x:v>
      </x:c>
      <x:c r="H107" s="138" t="n">
        <x:v>35900</x:v>
      </x:c>
      <x:c r="I107" s="141" t="n">
        <x:v>32904</x:v>
      </x:c>
      <x:c r="J107" s="129" t="str">
        <x:v>Sedan</x:v>
      </x:c>
      <x:c r="K107" s="129" t="str">
        <x:v>FWD</x:v>
      </x:c>
      <x:c r="L107" s="129" t="str">
        <x:v>2.5L I4 Hybrid</x:v>
      </x:c>
      <x:c r="M107" s="129" t="str">
        <x:v>Hybrid</x:v>
      </x:c>
      <x:c r="N107" s="129" t="str">
        <x:v>e-CVT</x:v>
      </x:c>
      <x:c r="O107" s="129" t="str">
        <x:v>Fair Deal</x:v>
      </x:c>
      <x:c r="P107" s="129" t="str">
        <x:v>8th Generation XV70</x:v>
      </x:c>
      <x:c r="Q107" s="144" t="str"/>
      <x:c r="R107" s="129" t="str">
        <x:v>Camry Hybrid</x:v>
      </x:c>
      <x:c r="S107" s="129" t="str">
        <x:v>Mainstream Midsize</x:v>
      </x:c>
      <x:c r="T107" s="147" t="n">
        <x:f>2026-G107</x:f>
        <x:v>2</x:v>
      </x:c>
      <x:c r="U107" s="150" t="n">
        <x:f>IF(T107&gt;0,I107/T107,"")</x:f>
        <x:v>16452</x:v>
      </x:c>
      <x:c r="V107" s="129" t="str">
        <x:v>Hybrid</x:v>
      </x:c>
      <x:c r="W107" s="129" t="str">
        <x:v>No</x:v>
      </x:c>
      <x:c r="X107" s="129" t="str">
        <x:v>Normal</x:v>
      </x:c>
      <x:c r="Y107" s="129" t="str">
        <x:f>IF(R107="AMG C43","No","Yes")</x:f>
        <x:v>Yes</x:v>
      </x:c>
      <x:c r="Z107" s="144" t="str">
        <x:f>IF(Y107="No","Excluded from final analysis: AMG performance model outside the predefined C300 candidate category.","")</x:f>
      </x:c>
    </x:row>
    <x:row r="108">
      <x:c r="A108" s="129" t="str">
        <x:v>CAMH_019</x:v>
      </x:c>
      <x:c r="B108" s="132" t="n">
        <x:v>46233</x:v>
      </x:c>
      <x:c r="C108" s="129" t="str">
        <x:v>Toronto</x:v>
      </x:c>
      <x:c r="D108" s="129" t="str">
        <x:v>Toyota</x:v>
      </x:c>
      <x:c r="E108" s="129" t="str">
        <x:v>Camry Hybrid</x:v>
      </x:c>
      <x:c r="F108" s="129" t="str">
        <x:v>SE</x:v>
      </x:c>
      <x:c r="G108" s="135" t="n">
        <x:v>2021</x:v>
      </x:c>
      <x:c r="H108" s="138" t="n">
        <x:v>31995</x:v>
      </x:c>
      <x:c r="I108" s="141" t="n">
        <x:v>37500</x:v>
      </x:c>
      <x:c r="J108" s="129" t="str">
        <x:v>Sedan</x:v>
      </x:c>
      <x:c r="K108" s="129" t="str">
        <x:v>FWD</x:v>
      </x:c>
      <x:c r="L108" s="129" t="str">
        <x:v>2.5L I4 Hybrid</x:v>
      </x:c>
      <x:c r="M108" s="129" t="str">
        <x:v>Hybrid</x:v>
      </x:c>
      <x:c r="N108" s="129" t="str">
        <x:v>e-CVT</x:v>
      </x:c>
      <x:c r="O108" s="129" t="str">
        <x:v>Fair Deal</x:v>
      </x:c>
      <x:c r="P108" s="129" t="str">
        <x:v>8th Generation XV70</x:v>
      </x:c>
      <x:c r="Q108" s="144" t="str"/>
      <x:c r="R108" s="129" t="str">
        <x:v>Camry Hybrid</x:v>
      </x:c>
      <x:c r="S108" s="129" t="str">
        <x:v>Mainstream Midsize</x:v>
      </x:c>
      <x:c r="T108" s="147" t="n">
        <x:f>2026-G108</x:f>
        <x:v>5</x:v>
      </x:c>
      <x:c r="U108" s="150" t="n">
        <x:f>IF(T108&gt;0,I108/T108,"")</x:f>
        <x:v>7500</x:v>
      </x:c>
      <x:c r="V108" s="129" t="str">
        <x:v>Hybrid</x:v>
      </x:c>
      <x:c r="W108" s="129" t="str">
        <x:v>No</x:v>
      </x:c>
      <x:c r="X108" s="129" t="str">
        <x:v>Normal</x:v>
      </x:c>
      <x:c r="Y108" s="129" t="str">
        <x:f>IF(R108="AMG C43","No","Yes")</x:f>
        <x:v>Yes</x:v>
      </x:c>
      <x:c r="Z108" s="144" t="str">
        <x:f>IF(Y108="No","Excluded from final analysis: AMG performance model outside the predefined C300 candidate category.","")</x:f>
      </x:c>
    </x:row>
    <x:row r="109">
      <x:c r="A109" s="129" t="str">
        <x:v>CAMH_020</x:v>
      </x:c>
      <x:c r="B109" s="132" t="n">
        <x:v>46233</x:v>
      </x:c>
      <x:c r="C109" s="129" t="str">
        <x:v>London</x:v>
      </x:c>
      <x:c r="D109" s="129" t="str">
        <x:v>Toyota</x:v>
      </x:c>
      <x:c r="E109" s="129" t="str">
        <x:v>Camry Hybrid</x:v>
      </x:c>
      <x:c r="F109" s="129" t="str">
        <x:v>SE</x:v>
      </x:c>
      <x:c r="G109" s="135" t="n">
        <x:v>2021</x:v>
      </x:c>
      <x:c r="H109" s="138" t="n">
        <x:v>30998</x:v>
      </x:c>
      <x:c r="I109" s="141" t="n">
        <x:v>48394</x:v>
      </x:c>
      <x:c r="J109" s="129" t="str">
        <x:v>Sedan</x:v>
      </x:c>
      <x:c r="K109" s="129" t="str">
        <x:v>FWD</x:v>
      </x:c>
      <x:c r="L109" s="129" t="str">
        <x:v>2.5L I4 Hybrid</x:v>
      </x:c>
      <x:c r="M109" s="129" t="str">
        <x:v>Hybrid</x:v>
      </x:c>
      <x:c r="N109" s="129" t="str">
        <x:v>e-CVT</x:v>
      </x:c>
      <x:c r="O109" s="129" t="str">
        <x:v>Fair Deal</x:v>
      </x:c>
      <x:c r="P109" s="129" t="str">
        <x:v>8th Generation XV70</x:v>
      </x:c>
      <x:c r="Q109" s="144" t="str"/>
      <x:c r="R109" s="129" t="str">
        <x:v>Camry Hybrid</x:v>
      </x:c>
      <x:c r="S109" s="129" t="str">
        <x:v>Mainstream Midsize</x:v>
      </x:c>
      <x:c r="T109" s="147" t="n">
        <x:f>2026-G109</x:f>
        <x:v>5</x:v>
      </x:c>
      <x:c r="U109" s="150" t="n">
        <x:f>IF(T109&gt;0,I109/T109,"")</x:f>
        <x:v>9678.8</x:v>
      </x:c>
      <x:c r="V109" s="129" t="str">
        <x:v>Hybrid</x:v>
      </x:c>
      <x:c r="W109" s="129" t="str">
        <x:v>No</x:v>
      </x:c>
      <x:c r="X109" s="129" t="str">
        <x:v>Normal</x:v>
      </x:c>
      <x:c r="Y109" s="129" t="str">
        <x:f>IF(R109="AMG C43","No","Yes")</x:f>
        <x:v>Yes</x:v>
      </x:c>
      <x:c r="Z109" s="144" t="str">
        <x:f>IF(Y109="No","Excluded from final analysis: AMG performance model outside the predefined C300 candidate category.","")</x:f>
      </x:c>
    </x:row>
    <x:row r="110">
      <x:c r="A110" s="129" t="str">
        <x:v>CAMH_021</x:v>
      </x:c>
      <x:c r="B110" s="132" t="n">
        <x:v>46233</x:v>
      </x:c>
      <x:c r="C110" s="129" t="str">
        <x:v>Mississauga</x:v>
      </x:c>
      <x:c r="D110" s="129" t="str">
        <x:v>Toyota</x:v>
      </x:c>
      <x:c r="E110" s="129" t="str">
        <x:v>Camry Hybrid</x:v>
      </x:c>
      <x:c r="F110" s="129" t="str">
        <x:v>XSE</x:v>
      </x:c>
      <x:c r="G110" s="135" t="n">
        <x:v>2024</x:v>
      </x:c>
      <x:c r="H110" s="138" t="n">
        <x:v>37995</x:v>
      </x:c>
      <x:c r="I110" s="141" t="n">
        <x:v>77948</x:v>
      </x:c>
      <x:c r="J110" s="129" t="str">
        <x:v>Sedan</x:v>
      </x:c>
      <x:c r="K110" s="129" t="str">
        <x:v>FWD</x:v>
      </x:c>
      <x:c r="L110" s="129" t="str">
        <x:v>2.5L I4 Hybrid</x:v>
      </x:c>
      <x:c r="M110" s="129" t="str">
        <x:v>Hybrid</x:v>
      </x:c>
      <x:c r="N110" s="129" t="str">
        <x:v>e-CVT</x:v>
      </x:c>
      <x:c r="O110" s="129" t="str">
        <x:v>Fair Deal</x:v>
      </x:c>
      <x:c r="P110" s="129" t="str">
        <x:v>8th Generation XV70</x:v>
      </x:c>
      <x:c r="Q110" s="144" t="str"/>
      <x:c r="R110" s="129" t="str">
        <x:v>Camry Hybrid</x:v>
      </x:c>
      <x:c r="S110" s="129" t="str">
        <x:v>Mainstream Midsize</x:v>
      </x:c>
      <x:c r="T110" s="147" t="n">
        <x:f>2026-G110</x:f>
        <x:v>2</x:v>
      </x:c>
      <x:c r="U110" s="150" t="n">
        <x:f>IF(T110&gt;0,I110/T110,"")</x:f>
        <x:v>38974</x:v>
      </x:c>
      <x:c r="V110" s="129" t="str">
        <x:v>Hybrid</x:v>
      </x:c>
      <x:c r="W110" s="129" t="str">
        <x:v>No</x:v>
      </x:c>
      <x:c r="X110" s="129" t="str">
        <x:v>Normal</x:v>
      </x:c>
      <x:c r="Y110" s="129" t="str">
        <x:f>IF(R110="AMG C43","No","Yes")</x:f>
        <x:v>Yes</x:v>
      </x:c>
      <x:c r="Z110" s="144" t="str">
        <x:f>IF(Y110="No","Excluded from final analysis: AMG performance model outside the predefined C300 candidate category.","")</x:f>
      </x:c>
    </x:row>
    <x:row r="111">
      <x:c r="A111" s="129" t="str">
        <x:v>AUD4_001</x:v>
      </x:c>
      <x:c r="B111" s="132" t="n">
        <x:v>46233</x:v>
      </x:c>
      <x:c r="C111" s="129" t="str">
        <x:v>Kitchener</x:v>
      </x:c>
      <x:c r="D111" s="129" t="str">
        <x:v>Audi</x:v>
      </x:c>
      <x:c r="E111" s="129" t="str">
        <x:v>A4</x:v>
      </x:c>
      <x:c r="F111" s="129" t="str">
        <x:v>Komfort 45 TFSI</x:v>
      </x:c>
      <x:c r="G111" s="135" t="n">
        <x:v>2024</x:v>
      </x:c>
      <x:c r="H111" s="138" t="n">
        <x:v>26499</x:v>
      </x:c>
      <x:c r="I111" s="141" t="n">
        <x:v>79167</x:v>
      </x:c>
      <x:c r="J111" s="129" t="str">
        <x:v>Sedan</x:v>
      </x:c>
      <x:c r="K111" s="129" t="str">
        <x:v>AWD</x:v>
      </x:c>
      <x:c r="L111" s="129" t="str">
        <x:v>2.0L Turbo I4</x:v>
      </x:c>
      <x:c r="M111" s="129" t="str">
        <x:v>Gasoline</x:v>
      </x:c>
      <x:c r="N111" s="129" t="str">
        <x:v>7-speed S tronic DCT</x:v>
      </x:c>
      <x:c r="O111" s="129" t="str">
        <x:v>Good Deal</x:v>
      </x:c>
      <x:c r="P111" s="129" t="str">
        <x:v>B9.5</x:v>
      </x:c>
      <x:c r="Q111" s="144" t="str">
        <x:v>quattro; duplicate listing removed</x:v>
      </x:c>
      <x:c r="R111" s="129" t="str">
        <x:v>A4</x:v>
      </x:c>
      <x:c r="S111" s="129" t="str">
        <x:v>Compact Luxury</x:v>
      </x:c>
      <x:c r="T111" s="147" t="n">
        <x:f>2026-G111</x:f>
        <x:v>2</x:v>
      </x:c>
      <x:c r="U111" s="150" t="n">
        <x:f>IF(T111&gt;0,I111/T111,"")</x:f>
        <x:v>39583.5</x:v>
      </x:c>
      <x:c r="V111" s="129" t="str">
        <x:v>Regular Gasoline</x:v>
      </x:c>
      <x:c r="W111" s="129" t="str">
        <x:v>No</x:v>
      </x:c>
      <x:c r="X111" s="129" t="str">
        <x:v>Normal</x:v>
      </x:c>
      <x:c r="Y111" s="129" t="str">
        <x:f>IF(R111="AMG C43","No","Yes")</x:f>
        <x:v>Yes</x:v>
      </x:c>
      <x:c r="Z111" s="144" t="str">
        <x:f>IF(Y111="No","Excluded from final analysis: AMG performance model outside the predefined C300 candidate category.","")</x:f>
      </x:c>
    </x:row>
    <x:row r="112">
      <x:c r="A112" s="129" t="str">
        <x:v>AUD4_002</x:v>
      </x:c>
      <x:c r="B112" s="132" t="n">
        <x:v>46233</x:v>
      </x:c>
      <x:c r="C112" s="129" t="str">
        <x:v>Toronto</x:v>
      </x:c>
      <x:c r="D112" s="129" t="str">
        <x:v>Audi</x:v>
      </x:c>
      <x:c r="E112" s="129" t="str">
        <x:v>A4</x:v>
      </x:c>
      <x:c r="F112" s="129" t="str">
        <x:v>Komfort</x:v>
      </x:c>
      <x:c r="G112" s="135" t="n">
        <x:v>2020</x:v>
      </x:c>
      <x:c r="H112" s="138" t="n">
        <x:v>18888</x:v>
      </x:c>
      <x:c r="I112" s="141" t="n">
        <x:v>79300</x:v>
      </x:c>
      <x:c r="J112" s="129" t="str">
        <x:v>Sedan</x:v>
      </x:c>
      <x:c r="K112" s="129" t="str">
        <x:v>AWD</x:v>
      </x:c>
      <x:c r="L112" s="129" t="str">
        <x:v>2.0L Turbo I4</x:v>
      </x:c>
      <x:c r="M112" s="129" t="str">
        <x:v>Gasoline</x:v>
      </x:c>
      <x:c r="N112" s="129" t="str">
        <x:v>7-speed S tronic DCT</x:v>
      </x:c>
      <x:c r="O112" s="129" t="str">
        <x:v>Great Deal</x:v>
      </x:c>
      <x:c r="P112" s="129" t="str">
        <x:v>B9.5</x:v>
      </x:c>
      <x:c r="Q112" s="144" t="str">
        <x:v>quattro</x:v>
      </x:c>
      <x:c r="R112" s="129" t="str">
        <x:v>A4</x:v>
      </x:c>
      <x:c r="S112" s="129" t="str">
        <x:v>Compact Luxury</x:v>
      </x:c>
      <x:c r="T112" s="147" t="n">
        <x:f>2026-G112</x:f>
        <x:v>6</x:v>
      </x:c>
      <x:c r="U112" s="150" t="n">
        <x:f>IF(T112&gt;0,I112/T112,"")</x:f>
        <x:v>13216.666666666666</x:v>
      </x:c>
      <x:c r="V112" s="129" t="str">
        <x:v>Regular Gasoline</x:v>
      </x:c>
      <x:c r="W112" s="129" t="str">
        <x:v>No</x:v>
      </x:c>
      <x:c r="X112" s="129" t="str">
        <x:v>Normal</x:v>
      </x:c>
      <x:c r="Y112" s="129" t="str">
        <x:f>IF(R112="AMG C43","No","Yes")</x:f>
        <x:v>Yes</x:v>
      </x:c>
      <x:c r="Z112" s="144" t="str">
        <x:f>IF(Y112="No","Excluded from final analysis: AMG performance model outside the predefined C300 candidate category.","")</x:f>
      </x:c>
    </x:row>
    <x:row r="113">
      <x:c r="A113" s="129" t="str">
        <x:v>AUD4_003</x:v>
      </x:c>
      <x:c r="B113" s="132" t="n">
        <x:v>46233</x:v>
      </x:c>
      <x:c r="C113" s="129" t="str">
        <x:v>Burlington</x:v>
      </x:c>
      <x:c r="D113" s="129" t="str">
        <x:v>Audi</x:v>
      </x:c>
      <x:c r="E113" s="129" t="str">
        <x:v>A4</x:v>
      </x:c>
      <x:c r="F113" s="129" t="str">
        <x:v>Technik 45 TFSI</x:v>
      </x:c>
      <x:c r="G113" s="135" t="n">
        <x:v>2022</x:v>
      </x:c>
      <x:c r="H113" s="138" t="n">
        <x:v>32888</x:v>
      </x:c>
      <x:c r="I113" s="141" t="n">
        <x:v>11500</x:v>
      </x:c>
      <x:c r="J113" s="129" t="str">
        <x:v>Sedan</x:v>
      </x:c>
      <x:c r="K113" s="129" t="str">
        <x:v>AWD</x:v>
      </x:c>
      <x:c r="L113" s="129" t="str">
        <x:v>2.0L Turbo I4</x:v>
      </x:c>
      <x:c r="M113" s="129" t="str">
        <x:v>Gasoline</x:v>
      </x:c>
      <x:c r="N113" s="129" t="str">
        <x:v>7-speed S tronic DCT</x:v>
      </x:c>
      <x:c r="O113" s="129" t="str">
        <x:v>Great Deal</x:v>
      </x:c>
      <x:c r="P113" s="129" t="str">
        <x:v>B9.5</x:v>
      </x:c>
      <x:c r="Q113" s="144" t="str">
        <x:v>quattro; low mileage</x:v>
      </x:c>
      <x:c r="R113" s="129" t="str">
        <x:v>A4</x:v>
      </x:c>
      <x:c r="S113" s="129" t="str">
        <x:v>Compact Luxury</x:v>
      </x:c>
      <x:c r="T113" s="147" t="n">
        <x:f>2026-G113</x:f>
        <x:v>4</x:v>
      </x:c>
      <x:c r="U113" s="150" t="n">
        <x:f>IF(T113&gt;0,I113/T113,"")</x:f>
        <x:v>2875</x:v>
      </x:c>
      <x:c r="V113" s="129" t="str">
        <x:v>Regular Gasoline</x:v>
      </x:c>
      <x:c r="W113" s="129" t="str">
        <x:v>No</x:v>
      </x:c>
      <x:c r="X113" s="129" t="str">
        <x:v>Normal</x:v>
      </x:c>
      <x:c r="Y113" s="129" t="str">
        <x:f>IF(R113="AMG C43","No","Yes")</x:f>
        <x:v>Yes</x:v>
      </x:c>
      <x:c r="Z113" s="144" t="str">
        <x:f>IF(Y113="No","Excluded from final analysis: AMG performance model outside the predefined C300 candidate category.","")</x:f>
      </x:c>
    </x:row>
    <x:row r="114">
      <x:c r="A114" s="129" t="str">
        <x:v>AUD4_004</x:v>
      </x:c>
      <x:c r="B114" s="132" t="n">
        <x:v>46233</x:v>
      </x:c>
      <x:c r="C114" s="129" t="str">
        <x:v>Oakville</x:v>
      </x:c>
      <x:c r="D114" s="129" t="str">
        <x:v>Audi</x:v>
      </x:c>
      <x:c r="E114" s="129" t="str">
        <x:v>A4</x:v>
      </x:c>
      <x:c r="F114" s="129" t="str">
        <x:v>Progressiv</x:v>
      </x:c>
      <x:c r="G114" s="135" t="n">
        <x:v>2020</x:v>
      </x:c>
      <x:c r="H114" s="138" t="n">
        <x:v>25995</x:v>
      </x:c>
      <x:c r="I114" s="141" t="n">
        <x:v>77000</x:v>
      </x:c>
      <x:c r="J114" s="129" t="str">
        <x:v>Sedan</x:v>
      </x:c>
      <x:c r="K114" s="129" t="str">
        <x:v>AWD</x:v>
      </x:c>
      <x:c r="L114" s="129" t="str">
        <x:v>2.0L Turbo I4</x:v>
      </x:c>
      <x:c r="M114" s="129" t="str">
        <x:v>Gasoline</x:v>
      </x:c>
      <x:c r="N114" s="129" t="str">
        <x:v>7-speed S tronic DCT</x:v>
      </x:c>
      <x:c r="O114" s="129" t="str">
        <x:v>Good Deal</x:v>
      </x:c>
      <x:c r="P114" s="129" t="str">
        <x:v>B9.5</x:v>
      </x:c>
      <x:c r="Q114" s="144" t="str">
        <x:v>quattro</x:v>
      </x:c>
      <x:c r="R114" s="129" t="str">
        <x:v>A4</x:v>
      </x:c>
      <x:c r="S114" s="129" t="str">
        <x:v>Compact Luxury</x:v>
      </x:c>
      <x:c r="T114" s="147" t="n">
        <x:f>2026-G114</x:f>
        <x:v>6</x:v>
      </x:c>
      <x:c r="U114" s="150" t="n">
        <x:f>IF(T114&gt;0,I114/T114,"")</x:f>
        <x:v>12833.333333333334</x:v>
      </x:c>
      <x:c r="V114" s="129" t="str">
        <x:v>Regular Gasoline</x:v>
      </x:c>
      <x:c r="W114" s="129" t="str">
        <x:v>No</x:v>
      </x:c>
      <x:c r="X114" s="129" t="str">
        <x:v>Normal</x:v>
      </x:c>
      <x:c r="Y114" s="129" t="str">
        <x:f>IF(R114="AMG C43","No","Yes")</x:f>
        <x:v>Yes</x:v>
      </x:c>
      <x:c r="Z114" s="144" t="str">
        <x:f>IF(Y114="No","Excluded from final analysis: AMG performance model outside the predefined C300 candidate category.","")</x:f>
      </x:c>
    </x:row>
    <x:row r="115">
      <x:c r="A115" s="129" t="str">
        <x:v>AUD4_005</x:v>
      </x:c>
      <x:c r="B115" s="132" t="n">
        <x:v>46233</x:v>
      </x:c>
      <x:c r="C115" s="129" t="str">
        <x:v>Vaughan</x:v>
      </x:c>
      <x:c r="D115" s="129" t="str">
        <x:v>Audi</x:v>
      </x:c>
      <x:c r="E115" s="129" t="str">
        <x:v>A4</x:v>
      </x:c>
      <x:c r="F115" s="129" t="str">
        <x:v>Premium Plus S Line</x:v>
      </x:c>
      <x:c r="G115" s="135" t="n">
        <x:v>2022</x:v>
      </x:c>
      <x:c r="H115" s="138" t="n">
        <x:v>26998</x:v>
      </x:c>
      <x:c r="I115" s="141" t="n">
        <x:v>83075</x:v>
      </x:c>
      <x:c r="J115" s="129" t="str">
        <x:v>Sedan</x:v>
      </x:c>
      <x:c r="K115" s="129" t="str">
        <x:v>AWD</x:v>
      </x:c>
      <x:c r="L115" s="129" t="str">
        <x:v>2.0L Turbo I4</x:v>
      </x:c>
      <x:c r="M115" s="129" t="str">
        <x:v>Gasoline</x:v>
      </x:c>
      <x:c r="N115" s="129" t="str">
        <x:v>7-speed S tronic DCT</x:v>
      </x:c>
      <x:c r="O115" s="129" t="str">
        <x:v>Good Deal</x:v>
      </x:c>
      <x:c r="P115" s="129" t="str">
        <x:v>B9.5</x:v>
      </x:c>
      <x:c r="Q115" s="144" t="str">
        <x:v>quattro; US-style trim name; verify import status</x:v>
      </x:c>
      <x:c r="R115" s="129" t="str">
        <x:v>A4</x:v>
      </x:c>
      <x:c r="S115" s="129" t="str">
        <x:v>Compact Luxury</x:v>
      </x:c>
      <x:c r="T115" s="147" t="n">
        <x:f>2026-G115</x:f>
        <x:v>4</x:v>
      </x:c>
      <x:c r="U115" s="150" t="n">
        <x:f>IF(T115&gt;0,I115/T115,"")</x:f>
        <x:v>20768.75</x:v>
      </x:c>
      <x:c r="V115" s="129" t="str">
        <x:v>Regular Gasoline</x:v>
      </x:c>
      <x:c r="W115" s="129" t="str">
        <x:v>No</x:v>
      </x:c>
      <x:c r="X115" s="129" t="str">
        <x:v>Normal</x:v>
      </x:c>
      <x:c r="Y115" s="129" t="str">
        <x:f>IF(R115="AMG C43","No","Yes")</x:f>
        <x:v>Yes</x:v>
      </x:c>
      <x:c r="Z115" s="144" t="str">
        <x:f>IF(Y115="No","Excluded from final analysis: AMG performance model outside the predefined C300 candidate category.","")</x:f>
      </x:c>
    </x:row>
    <x:row r="116">
      <x:c r="A116" s="129" t="str">
        <x:v>AUD4_006</x:v>
      </x:c>
      <x:c r="B116" s="132" t="n">
        <x:v>46233</x:v>
      </x:c>
      <x:c r="C116" s="129" t="str">
        <x:v>Mississauga</x:v>
      </x:c>
      <x:c r="D116" s="129" t="str">
        <x:v>Audi</x:v>
      </x:c>
      <x:c r="E116" s="129" t="str">
        <x:v>A4</x:v>
      </x:c>
      <x:c r="F116" s="129" t="str">
        <x:v>Komfort 45 TFSI</x:v>
      </x:c>
      <x:c r="G116" s="135" t="n">
        <x:v>2022</x:v>
      </x:c>
      <x:c r="H116" s="138" t="n">
        <x:v>30995</x:v>
      </x:c>
      <x:c r="I116" s="141" t="n">
        <x:v>27488</x:v>
      </x:c>
      <x:c r="J116" s="129" t="str">
        <x:v>Sedan</x:v>
      </x:c>
      <x:c r="K116" s="129" t="str">
        <x:v>AWD</x:v>
      </x:c>
      <x:c r="L116" s="129" t="str">
        <x:v>2.0L Turbo I4</x:v>
      </x:c>
      <x:c r="M116" s="129" t="str">
        <x:v>Gasoline</x:v>
      </x:c>
      <x:c r="N116" s="129" t="str">
        <x:v>7-speed S tronic DCT</x:v>
      </x:c>
      <x:c r="O116" s="129" t="str">
        <x:v>Good Deal</x:v>
      </x:c>
      <x:c r="P116" s="129" t="str">
        <x:v>B9.5</x:v>
      </x:c>
      <x:c r="Q116" s="144" t="str">
        <x:v>quattro</x:v>
      </x:c>
      <x:c r="R116" s="129" t="str">
        <x:v>A4</x:v>
      </x:c>
      <x:c r="S116" s="129" t="str">
        <x:v>Compact Luxury</x:v>
      </x:c>
      <x:c r="T116" s="147" t="n">
        <x:f>2026-G116</x:f>
        <x:v>4</x:v>
      </x:c>
      <x:c r="U116" s="150" t="n">
        <x:f>IF(T116&gt;0,I116/T116,"")</x:f>
        <x:v>6872</x:v>
      </x:c>
      <x:c r="V116" s="129" t="str">
        <x:v>Regular Gasoline</x:v>
      </x:c>
      <x:c r="W116" s="129" t="str">
        <x:v>No</x:v>
      </x:c>
      <x:c r="X116" s="129" t="str">
        <x:v>Normal</x:v>
      </x:c>
      <x:c r="Y116" s="129" t="str">
        <x:f>IF(R116="AMG C43","No","Yes")</x:f>
        <x:v>Yes</x:v>
      </x:c>
      <x:c r="Z116" s="144" t="str">
        <x:f>IF(Y116="No","Excluded from final analysis: AMG performance model outside the predefined C300 candidate category.","")</x:f>
      </x:c>
    </x:row>
    <x:row r="117">
      <x:c r="A117" s="129" t="str">
        <x:v>AUD4_007</x:v>
      </x:c>
      <x:c r="B117" s="132" t="n">
        <x:v>46233</x:v>
      </x:c>
      <x:c r="C117" s="129" t="str">
        <x:v>Mississauga</x:v>
      </x:c>
      <x:c r="D117" s="129" t="str">
        <x:v>Audi</x:v>
      </x:c>
      <x:c r="E117" s="129" t="str">
        <x:v>A4</x:v>
      </x:c>
      <x:c r="F117" s="129" t="str">
        <x:v>Komfort 45 TFSI</x:v>
      </x:c>
      <x:c r="G117" s="135" t="n">
        <x:v>2022</x:v>
      </x:c>
      <x:c r="H117" s="138" t="n">
        <x:v>27995</x:v>
      </x:c>
      <x:c r="I117" s="141" t="n">
        <x:v>64386</x:v>
      </x:c>
      <x:c r="J117" s="129" t="str">
        <x:v>Sedan</x:v>
      </x:c>
      <x:c r="K117" s="129" t="str">
        <x:v>AWD</x:v>
      </x:c>
      <x:c r="L117" s="129" t="str">
        <x:v>2.0L Turbo I4</x:v>
      </x:c>
      <x:c r="M117" s="129" t="str">
        <x:v>Gasoline</x:v>
      </x:c>
      <x:c r="N117" s="129" t="str">
        <x:v>7-speed S tronic DCT</x:v>
      </x:c>
      <x:c r="O117" s="129" t="str">
        <x:v>Good Deal</x:v>
      </x:c>
      <x:c r="P117" s="129" t="str">
        <x:v>B9.5</x:v>
      </x:c>
      <x:c r="Q117" s="144" t="str">
        <x:v>quattro</x:v>
      </x:c>
      <x:c r="R117" s="129" t="str">
        <x:v>A4</x:v>
      </x:c>
      <x:c r="S117" s="129" t="str">
        <x:v>Compact Luxury</x:v>
      </x:c>
      <x:c r="T117" s="147" t="n">
        <x:f>2026-G117</x:f>
        <x:v>4</x:v>
      </x:c>
      <x:c r="U117" s="150" t="n">
        <x:f>IF(T117&gt;0,I117/T117,"")</x:f>
        <x:v>16096.5</x:v>
      </x:c>
      <x:c r="V117" s="129" t="str">
        <x:v>Regular Gasoline</x:v>
      </x:c>
      <x:c r="W117" s="129" t="str">
        <x:v>No</x:v>
      </x:c>
      <x:c r="X117" s="129" t="str">
        <x:v>Normal</x:v>
      </x:c>
      <x:c r="Y117" s="129" t="str">
        <x:f>IF(R117="AMG C43","No","Yes")</x:f>
        <x:v>Yes</x:v>
      </x:c>
      <x:c r="Z117" s="144" t="str">
        <x:f>IF(Y117="No","Excluded from final analysis: AMG performance model outside the predefined C300 candidate category.","")</x:f>
      </x:c>
    </x:row>
    <x:row r="118">
      <x:c r="A118" s="129" t="str">
        <x:v>AUD4_008</x:v>
      </x:c>
      <x:c r="B118" s="132" t="n">
        <x:v>46233</x:v>
      </x:c>
      <x:c r="C118" s="129" t="str">
        <x:v>Mississauga</x:v>
      </x:c>
      <x:c r="D118" s="129" t="str">
        <x:v>Audi</x:v>
      </x:c>
      <x:c r="E118" s="129" t="str">
        <x:v>A4</x:v>
      </x:c>
      <x:c r="F118" s="129" t="str">
        <x:v>Progressiv 45 TFSI</x:v>
      </x:c>
      <x:c r="G118" s="135" t="n">
        <x:v>2023</x:v>
      </x:c>
      <x:c r="H118" s="138" t="n">
        <x:v>34488</x:v>
      </x:c>
      <x:c r="I118" s="141" t="n">
        <x:v>65275</x:v>
      </x:c>
      <x:c r="J118" s="129" t="str">
        <x:v>Sedan</x:v>
      </x:c>
      <x:c r="K118" s="129" t="str">
        <x:v>AWD</x:v>
      </x:c>
      <x:c r="L118" s="129" t="str">
        <x:v>2.0L Turbo I4</x:v>
      </x:c>
      <x:c r="M118" s="129" t="str">
        <x:v>Gasoline</x:v>
      </x:c>
      <x:c r="N118" s="129" t="str">
        <x:v>7-speed S tronic DCT</x:v>
      </x:c>
      <x:c r="O118" s="129" t="str">
        <x:v>Fair Deal</x:v>
      </x:c>
      <x:c r="P118" s="129" t="str">
        <x:v>B9.5</x:v>
      </x:c>
      <x:c r="Q118" s="144" t="str">
        <x:v>quattro</x:v>
      </x:c>
      <x:c r="R118" s="129" t="str">
        <x:v>A4</x:v>
      </x:c>
      <x:c r="S118" s="129" t="str">
        <x:v>Compact Luxury</x:v>
      </x:c>
      <x:c r="T118" s="147" t="n">
        <x:f>2026-G118</x:f>
        <x:v>3</x:v>
      </x:c>
      <x:c r="U118" s="150" t="n">
        <x:f>IF(T118&gt;0,I118/T118,"")</x:f>
        <x:v>21758.333333333332</x:v>
      </x:c>
      <x:c r="V118" s="129" t="str">
        <x:v>Regular Gasoline</x:v>
      </x:c>
      <x:c r="W118" s="129" t="str">
        <x:v>No</x:v>
      </x:c>
      <x:c r="X118" s="129" t="str">
        <x:v>Normal</x:v>
      </x:c>
      <x:c r="Y118" s="129" t="str">
        <x:f>IF(R118="AMG C43","No","Yes")</x:f>
        <x:v>Yes</x:v>
      </x:c>
      <x:c r="Z118" s="144" t="str">
        <x:f>IF(Y118="No","Excluded from final analysis: AMG performance model outside the predefined C300 candidate category.","")</x:f>
      </x:c>
    </x:row>
    <x:row r="119">
      <x:c r="A119" s="129" t="str">
        <x:v>AUD4_009</x:v>
      </x:c>
      <x:c r="B119" s="132" t="n">
        <x:v>46233</x:v>
      </x:c>
      <x:c r="C119" s="129" t="str">
        <x:v>Kitchener</x:v>
      </x:c>
      <x:c r="D119" s="129" t="str">
        <x:v>Audi</x:v>
      </x:c>
      <x:c r="E119" s="129" t="str">
        <x:v>A4</x:v>
      </x:c>
      <x:c r="F119" s="129" t="str">
        <x:v>Komfort 45 TFSI</x:v>
      </x:c>
      <x:c r="G119" s="135" t="n">
        <x:v>2024</x:v>
      </x:c>
      <x:c r="H119" s="138" t="n">
        <x:v>25848</x:v>
      </x:c>
      <x:c r="I119" s="141" t="n">
        <x:v>83417</x:v>
      </x:c>
      <x:c r="J119" s="129" t="str">
        <x:v>Sedan</x:v>
      </x:c>
      <x:c r="K119" s="129" t="str">
        <x:v>AWD</x:v>
      </x:c>
      <x:c r="L119" s="129" t="str">
        <x:v>2.0L Turbo I4</x:v>
      </x:c>
      <x:c r="M119" s="129" t="str">
        <x:v>Gasoline</x:v>
      </x:c>
      <x:c r="N119" s="129" t="str">
        <x:v>7-speed S tronic DCT</x:v>
      </x:c>
      <x:c r="O119" s="129" t="str">
        <x:v>Good Deal</x:v>
      </x:c>
      <x:c r="P119" s="129" t="str">
        <x:v>B9.5</x:v>
      </x:c>
      <x:c r="Q119" s="144" t="str">
        <x:v>quattro</x:v>
      </x:c>
      <x:c r="R119" s="129" t="str">
        <x:v>A4</x:v>
      </x:c>
      <x:c r="S119" s="129" t="str">
        <x:v>Compact Luxury</x:v>
      </x:c>
      <x:c r="T119" s="147" t="n">
        <x:f>2026-G119</x:f>
        <x:v>2</x:v>
      </x:c>
      <x:c r="U119" s="150" t="n">
        <x:f>IF(T119&gt;0,I119/T119,"")</x:f>
        <x:v>41708.5</x:v>
      </x:c>
      <x:c r="V119" s="129" t="str">
        <x:v>Regular Gasoline</x:v>
      </x:c>
      <x:c r="W119" s="129" t="str">
        <x:v>No</x:v>
      </x:c>
      <x:c r="X119" s="129" t="str">
        <x:v>Normal</x:v>
      </x:c>
      <x:c r="Y119" s="129" t="str">
        <x:f>IF(R119="AMG C43","No","Yes")</x:f>
        <x:v>Yes</x:v>
      </x:c>
      <x:c r="Z119" s="144" t="str">
        <x:f>IF(Y119="No","Excluded from final analysis: AMG performance model outside the predefined C300 candidate category.","")</x:f>
      </x:c>
    </x:row>
    <x:row r="120">
      <x:c r="A120" s="129" t="str">
        <x:v>AUD4_010</x:v>
      </x:c>
      <x:c r="B120" s="132" t="n">
        <x:v>46233</x:v>
      </x:c>
      <x:c r="C120" s="129" t="str">
        <x:v>Kitchener</x:v>
      </x:c>
      <x:c r="D120" s="129" t="str">
        <x:v>Audi</x:v>
      </x:c>
      <x:c r="E120" s="129" t="str">
        <x:v>A4</x:v>
      </x:c>
      <x:c r="F120" s="129" t="str">
        <x:v>Komfort 45 TFSI</x:v>
      </x:c>
      <x:c r="G120" s="135" t="n">
        <x:v>2024</x:v>
      </x:c>
      <x:c r="H120" s="138" t="n">
        <x:v>26000</x:v>
      </x:c>
      <x:c r="I120" s="141" t="n">
        <x:v>81377</x:v>
      </x:c>
      <x:c r="J120" s="129" t="str">
        <x:v>Sedan</x:v>
      </x:c>
      <x:c r="K120" s="129" t="str">
        <x:v>AWD</x:v>
      </x:c>
      <x:c r="L120" s="129" t="str">
        <x:v>2.0L Turbo I4</x:v>
      </x:c>
      <x:c r="M120" s="129" t="str">
        <x:v>Gasoline</x:v>
      </x:c>
      <x:c r="N120" s="129" t="str">
        <x:v>7-speed S tronic DCT</x:v>
      </x:c>
      <x:c r="O120" s="129" t="str">
        <x:v>Good Deal</x:v>
      </x:c>
      <x:c r="P120" s="129" t="str">
        <x:v>B9.5</x:v>
      </x:c>
      <x:c r="Q120" s="144" t="str">
        <x:v>quattro</x:v>
      </x:c>
      <x:c r="R120" s="129" t="str">
        <x:v>A4</x:v>
      </x:c>
      <x:c r="S120" s="129" t="str">
        <x:v>Compact Luxury</x:v>
      </x:c>
      <x:c r="T120" s="147" t="n">
        <x:f>2026-G120</x:f>
        <x:v>2</x:v>
      </x:c>
      <x:c r="U120" s="150" t="n">
        <x:f>IF(T120&gt;0,I120/T120,"")</x:f>
        <x:v>40688.5</x:v>
      </x:c>
      <x:c r="V120" s="129" t="str">
        <x:v>Regular Gasoline</x:v>
      </x:c>
      <x:c r="W120" s="129" t="str">
        <x:v>No</x:v>
      </x:c>
      <x:c r="X120" s="129" t="str">
        <x:v>Normal</x:v>
      </x:c>
      <x:c r="Y120" s="129" t="str">
        <x:f>IF(R120="AMG C43","No","Yes")</x:f>
        <x:v>Yes</x:v>
      </x:c>
      <x:c r="Z120" s="144" t="str">
        <x:f>IF(Y120="No","Excluded from final analysis: AMG performance model outside the predefined C300 candidate category.","")</x:f>
      </x:c>
    </x:row>
    <x:row r="121">
      <x:c r="A121" s="129" t="str">
        <x:v>AUD4_011</x:v>
      </x:c>
      <x:c r="B121" s="132" t="n">
        <x:v>46233</x:v>
      </x:c>
      <x:c r="C121" s="129" t="str">
        <x:v>Mississauga</x:v>
      </x:c>
      <x:c r="D121" s="129" t="str">
        <x:v>Audi</x:v>
      </x:c>
      <x:c r="E121" s="129" t="str">
        <x:v>A4</x:v>
      </x:c>
      <x:c r="F121" s="129" t="str">
        <x:v>Komfort 45 TFSI</x:v>
      </x:c>
      <x:c r="G121" s="135" t="n">
        <x:v>2024</x:v>
      </x:c>
      <x:c r="H121" s="138" t="n">
        <x:v>36991</x:v>
      </x:c>
      <x:c r="I121" s="141" t="n">
        <x:v>8000</x:v>
      </x:c>
      <x:c r="J121" s="129" t="str">
        <x:v>Sedan</x:v>
      </x:c>
      <x:c r="K121" s="129" t="str">
        <x:v>AWD</x:v>
      </x:c>
      <x:c r="L121" s="129" t="str">
        <x:v>2.0L Turbo I4</x:v>
      </x:c>
      <x:c r="M121" s="129" t="str">
        <x:v>Gasoline</x:v>
      </x:c>
      <x:c r="N121" s="129" t="str">
        <x:v>7-speed S tronic DCT</x:v>
      </x:c>
      <x:c r="O121" s="129" t="str">
        <x:v>Good Deal</x:v>
      </x:c>
      <x:c r="P121" s="129" t="str">
        <x:v>B9.5</x:v>
      </x:c>
      <x:c r="Q121" s="144" t="str">
        <x:v>quattro; low mileage; duplicate listing removed</x:v>
      </x:c>
      <x:c r="R121" s="129" t="str">
        <x:v>A4</x:v>
      </x:c>
      <x:c r="S121" s="129" t="str">
        <x:v>Compact Luxury</x:v>
      </x:c>
      <x:c r="T121" s="147" t="n">
        <x:f>2026-G121</x:f>
        <x:v>2</x:v>
      </x:c>
      <x:c r="U121" s="150" t="n">
        <x:f>IF(T121&gt;0,I121/T121,"")</x:f>
        <x:v>4000</x:v>
      </x:c>
      <x:c r="V121" s="129" t="str">
        <x:v>Regular Gasoline</x:v>
      </x:c>
      <x:c r="W121" s="129" t="str">
        <x:v>No</x:v>
      </x:c>
      <x:c r="X121" s="129" t="str">
        <x:v>Normal</x:v>
      </x:c>
      <x:c r="Y121" s="129" t="str">
        <x:f>IF(R121="AMG C43","No","Yes")</x:f>
        <x:v>Yes</x:v>
      </x:c>
      <x:c r="Z121" s="144" t="str">
        <x:f>IF(Y121="No","Excluded from final analysis: AMG performance model outside the predefined C300 candidate category.","")</x:f>
      </x:c>
    </x:row>
    <x:row r="122">
      <x:c r="A122" s="129" t="str">
        <x:v>AUD4_012</x:v>
      </x:c>
      <x:c r="B122" s="132" t="n">
        <x:v>46233</x:v>
      </x:c>
      <x:c r="C122" s="129" t="str">
        <x:v>Mississauga</x:v>
      </x:c>
      <x:c r="D122" s="129" t="str">
        <x:v>Audi</x:v>
      </x:c>
      <x:c r="E122" s="129" t="str">
        <x:v>A4</x:v>
      </x:c>
      <x:c r="F122" s="129" t="str">
        <x:v>Premium Plus S Line</x:v>
      </x:c>
      <x:c r="G122" s="135" t="n">
        <x:v>2024</x:v>
      </x:c>
      <x:c r="H122" s="138" t="n">
        <x:v>42690</x:v>
      </x:c>
      <x:c r="I122" s="141" t="n">
        <x:v>1975</x:v>
      </x:c>
      <x:c r="J122" s="129" t="str">
        <x:v>Sedan</x:v>
      </x:c>
      <x:c r="K122" s="129" t="str">
        <x:v>AWD</x:v>
      </x:c>
      <x:c r="L122" s="129" t="str">
        <x:v>2.0L Turbo I4</x:v>
      </x:c>
      <x:c r="M122" s="129" t="str">
        <x:v>Gasoline</x:v>
      </x:c>
      <x:c r="N122" s="129" t="str">
        <x:v>7-speed S tronic DCT</x:v>
      </x:c>
      <x:c r="O122" s="129" t="str">
        <x:v>Good Deal</x:v>
      </x:c>
      <x:c r="P122" s="129" t="str">
        <x:v>B9.5</x:v>
      </x:c>
      <x:c r="Q122" s="144" t="str">
        <x:v>quattro; $1,100 price reduction; very low mileage; verify import status</x:v>
      </x:c>
      <x:c r="R122" s="129" t="str">
        <x:v>A4</x:v>
      </x:c>
      <x:c r="S122" s="129" t="str">
        <x:v>Compact Luxury</x:v>
      </x:c>
      <x:c r="T122" s="147" t="n">
        <x:f>2026-G122</x:f>
        <x:v>2</x:v>
      </x:c>
      <x:c r="U122" s="150" t="n">
        <x:f>IF(T122&gt;0,I122/T122,"")</x:f>
        <x:v>987.5</x:v>
      </x:c>
      <x:c r="V122" s="129" t="str">
        <x:v>Regular Gasoline</x:v>
      </x:c>
      <x:c r="W122" s="129" t="str">
        <x:v>No</x:v>
      </x:c>
      <x:c r="X122" s="129" t="str">
        <x:v>Very Low</x:v>
      </x:c>
      <x:c r="Y122" s="129" t="str">
        <x:f>IF(R122="AMG C43","No","Yes")</x:f>
        <x:v>Yes</x:v>
      </x:c>
      <x:c r="Z122" s="144" t="str">
        <x:f>IF(Y122="No","Excluded from final analysis: AMG performance model outside the predefined C300 candidate category.","")</x:f>
      </x:c>
    </x:row>
    <x:row r="123">
      <x:c r="A123" s="129" t="str">
        <x:v>AUD4_013</x:v>
      </x:c>
      <x:c r="B123" s="132" t="n">
        <x:v>46233</x:v>
      </x:c>
      <x:c r="C123" s="129" t="str">
        <x:v>Oakville</x:v>
      </x:c>
      <x:c r="D123" s="129" t="str">
        <x:v>Audi</x:v>
      </x:c>
      <x:c r="E123" s="129" t="str">
        <x:v>A4</x:v>
      </x:c>
      <x:c r="F123" s="129" t="str">
        <x:v>Komfort 45 TFSI</x:v>
      </x:c>
      <x:c r="G123" s="135" t="n">
        <x:v>2022</x:v>
      </x:c>
      <x:c r="H123" s="138" t="n">
        <x:v>30499</x:v>
      </x:c>
      <x:c r="I123" s="141" t="n">
        <x:v>47006</x:v>
      </x:c>
      <x:c r="J123" s="129" t="str">
        <x:v>Sedan</x:v>
      </x:c>
      <x:c r="K123" s="129" t="str">
        <x:v>AWD</x:v>
      </x:c>
      <x:c r="L123" s="129" t="str">
        <x:v>2.0L Turbo I4</x:v>
      </x:c>
      <x:c r="M123" s="129" t="str">
        <x:v>Gasoline</x:v>
      </x:c>
      <x:c r="N123" s="129" t="str">
        <x:v>7-speed S tronic DCT</x:v>
      </x:c>
      <x:c r="O123" s="129" t="str">
        <x:v>Good Deal</x:v>
      </x:c>
      <x:c r="P123" s="129" t="str">
        <x:v>B9.5</x:v>
      </x:c>
      <x:c r="Q123" s="144" t="str">
        <x:v>quattro</x:v>
      </x:c>
      <x:c r="R123" s="129" t="str">
        <x:v>A4</x:v>
      </x:c>
      <x:c r="S123" s="129" t="str">
        <x:v>Compact Luxury</x:v>
      </x:c>
      <x:c r="T123" s="147" t="n">
        <x:f>2026-G123</x:f>
        <x:v>4</x:v>
      </x:c>
      <x:c r="U123" s="150" t="n">
        <x:f>IF(T123&gt;0,I123/T123,"")</x:f>
        <x:v>11751.5</x:v>
      </x:c>
      <x:c r="V123" s="129" t="str">
        <x:v>Regular Gasoline</x:v>
      </x:c>
      <x:c r="W123" s="129" t="str">
        <x:v>No</x:v>
      </x:c>
      <x:c r="X123" s="129" t="str">
        <x:v>Normal</x:v>
      </x:c>
      <x:c r="Y123" s="129" t="str">
        <x:f>IF(R123="AMG C43","No","Yes")</x:f>
        <x:v>Yes</x:v>
      </x:c>
      <x:c r="Z123" s="144" t="str">
        <x:f>IF(Y123="No","Excluded from final analysis: AMG performance model outside the predefined C300 candidate category.","")</x:f>
      </x:c>
    </x:row>
    <x:row r="124">
      <x:c r="A124" s="129" t="str">
        <x:v>AUD4_014</x:v>
      </x:c>
      <x:c r="B124" s="132" t="n">
        <x:v>46233</x:v>
      </x:c>
      <x:c r="C124" s="129" t="str">
        <x:v>North York</x:v>
      </x:c>
      <x:c r="D124" s="129" t="str">
        <x:v>Audi</x:v>
      </x:c>
      <x:c r="E124" s="129" t="str">
        <x:v>A4</x:v>
      </x:c>
      <x:c r="F124" s="129" t="str">
        <x:v>Komfort 45 TFSI</x:v>
      </x:c>
      <x:c r="G124" s="135" t="n">
        <x:v>2023</x:v>
      </x:c>
      <x:c r="H124" s="138" t="n">
        <x:v>25999</x:v>
      </x:c>
      <x:c r="I124" s="141" t="n">
        <x:v>90176</x:v>
      </x:c>
      <x:c r="J124" s="129" t="str">
        <x:v>Sedan</x:v>
      </x:c>
      <x:c r="K124" s="129" t="str">
        <x:v>AWD</x:v>
      </x:c>
      <x:c r="L124" s="129" t="str">
        <x:v>2.0L Turbo I4</x:v>
      </x:c>
      <x:c r="M124" s="129" t="str">
        <x:v>Gasoline</x:v>
      </x:c>
      <x:c r="N124" s="129" t="str">
        <x:v>7-speed S tronic DCT</x:v>
      </x:c>
      <x:c r="O124" s="129" t="str">
        <x:v>Good Deal</x:v>
      </x:c>
      <x:c r="P124" s="129" t="str">
        <x:v>B9.5</x:v>
      </x:c>
      <x:c r="Q124" s="144" t="str">
        <x:v>quattro</x:v>
      </x:c>
      <x:c r="R124" s="129" t="str">
        <x:v>A4</x:v>
      </x:c>
      <x:c r="S124" s="129" t="str">
        <x:v>Compact Luxury</x:v>
      </x:c>
      <x:c r="T124" s="147" t="n">
        <x:f>2026-G124</x:f>
        <x:v>3</x:v>
      </x:c>
      <x:c r="U124" s="150" t="n">
        <x:f>IF(T124&gt;0,I124/T124,"")</x:f>
        <x:v>30058.666666666668</x:v>
      </x:c>
      <x:c r="V124" s="129" t="str">
        <x:v>Regular Gasoline</x:v>
      </x:c>
      <x:c r="W124" s="129" t="str">
        <x:v>No</x:v>
      </x:c>
      <x:c r="X124" s="129" t="str">
        <x:v>Normal</x:v>
      </x:c>
      <x:c r="Y124" s="129" t="str">
        <x:f>IF(R124="AMG C43","No","Yes")</x:f>
        <x:v>Yes</x:v>
      </x:c>
      <x:c r="Z124" s="144" t="str">
        <x:f>IF(Y124="No","Excluded from final analysis: AMG performance model outside the predefined C300 candidate category.","")</x:f>
      </x:c>
    </x:row>
    <x:row r="125">
      <x:c r="A125" s="129" t="str">
        <x:v>AUD4_015</x:v>
      </x:c>
      <x:c r="B125" s="132" t="n">
        <x:v>46233</x:v>
      </x:c>
      <x:c r="C125" s="129" t="str">
        <x:v>Mississauga</x:v>
      </x:c>
      <x:c r="D125" s="129" t="str">
        <x:v>Audi</x:v>
      </x:c>
      <x:c r="E125" s="129" t="str">
        <x:v>A4</x:v>
      </x:c>
      <x:c r="F125" s="129" t="str">
        <x:v>Premium Plus S Line</x:v>
      </x:c>
      <x:c r="G125" s="135" t="n">
        <x:v>2022</x:v>
      </x:c>
      <x:c r="H125" s="138" t="n">
        <x:v>29990</x:v>
      </x:c>
      <x:c r="I125" s="141" t="n">
        <x:v>53400</x:v>
      </x:c>
      <x:c r="J125" s="129" t="str">
        <x:v>Sedan</x:v>
      </x:c>
      <x:c r="K125" s="129" t="str">
        <x:v>AWD</x:v>
      </x:c>
      <x:c r="L125" s="129" t="str">
        <x:v>2.0L Turbo I4</x:v>
      </x:c>
      <x:c r="M125" s="129" t="str">
        <x:v>Gasoline</x:v>
      </x:c>
      <x:c r="N125" s="129" t="str">
        <x:v>7-speed S tronic DCT</x:v>
      </x:c>
      <x:c r="O125" s="129" t="str">
        <x:v>Good Deal</x:v>
      </x:c>
      <x:c r="P125" s="129" t="str">
        <x:v>B9.5</x:v>
      </x:c>
      <x:c r="Q125" s="144" t="str">
        <x:v>quattro; US-style trim name; verify import status</x:v>
      </x:c>
      <x:c r="R125" s="129" t="str">
        <x:v>A4</x:v>
      </x:c>
      <x:c r="S125" s="129" t="str">
        <x:v>Compact Luxury</x:v>
      </x:c>
      <x:c r="T125" s="147" t="n">
        <x:f>2026-G125</x:f>
        <x:v>4</x:v>
      </x:c>
      <x:c r="U125" s="150" t="n">
        <x:f>IF(T125&gt;0,I125/T125,"")</x:f>
        <x:v>13350</x:v>
      </x:c>
      <x:c r="V125" s="129" t="str">
        <x:v>Regular Gasoline</x:v>
      </x:c>
      <x:c r="W125" s="129" t="str">
        <x:v>No</x:v>
      </x:c>
      <x:c r="X125" s="129" t="str">
        <x:v>Normal</x:v>
      </x:c>
      <x:c r="Y125" s="129" t="str">
        <x:f>IF(R125="AMG C43","No","Yes")</x:f>
        <x:v>Yes</x:v>
      </x:c>
      <x:c r="Z125" s="144" t="str">
        <x:f>IF(Y125="No","Excluded from final analysis: AMG performance model outside the predefined C300 candidate category.","")</x:f>
      </x:c>
    </x:row>
    <x:row r="126">
      <x:c r="A126" s="129" t="str">
        <x:v>AUD4_016</x:v>
      </x:c>
      <x:c r="B126" s="132" t="n">
        <x:v>46233</x:v>
      </x:c>
      <x:c r="C126" s="129" t="str">
        <x:v>Clarington</x:v>
      </x:c>
      <x:c r="D126" s="129" t="str">
        <x:v>Audi</x:v>
      </x:c>
      <x:c r="E126" s="129" t="str">
        <x:v>A4</x:v>
      </x:c>
      <x:c r="F126" s="129" t="str">
        <x:v>Premium Plus S Line</x:v>
      </x:c>
      <x:c r="G126" s="135" t="n">
        <x:v>2023</x:v>
      </x:c>
      <x:c r="H126" s="138" t="n">
        <x:v>31995</x:v>
      </x:c>
      <x:c r="I126" s="141" t="n">
        <x:v>61160</x:v>
      </x:c>
      <x:c r="J126" s="129" t="str">
        <x:v>Sedan</x:v>
      </x:c>
      <x:c r="K126" s="129" t="str">
        <x:v>AWD</x:v>
      </x:c>
      <x:c r="L126" s="129" t="str">
        <x:v>2.0L Turbo I4</x:v>
      </x:c>
      <x:c r="M126" s="129" t="str">
        <x:v>Gasoline</x:v>
      </x:c>
      <x:c r="N126" s="129" t="str">
        <x:v>7-speed S tronic DCT</x:v>
      </x:c>
      <x:c r="O126" s="129" t="str">
        <x:v>Good Deal</x:v>
      </x:c>
      <x:c r="P126" s="129" t="str">
        <x:v>B9.5</x:v>
      </x:c>
      <x:c r="Q126" s="144" t="str">
        <x:v>quattro; US-style trim name; verify import status</x:v>
      </x:c>
      <x:c r="R126" s="129" t="str">
        <x:v>A4</x:v>
      </x:c>
      <x:c r="S126" s="129" t="str">
        <x:v>Compact Luxury</x:v>
      </x:c>
      <x:c r="T126" s="147" t="n">
        <x:f>2026-G126</x:f>
        <x:v>3</x:v>
      </x:c>
      <x:c r="U126" s="150" t="n">
        <x:f>IF(T126&gt;0,I126/T126,"")</x:f>
        <x:v>20386.666666666668</x:v>
      </x:c>
      <x:c r="V126" s="129" t="str">
        <x:v>Regular Gasoline</x:v>
      </x:c>
      <x:c r="W126" s="129" t="str">
        <x:v>No</x:v>
      </x:c>
      <x:c r="X126" s="129" t="str">
        <x:v>Normal</x:v>
      </x:c>
      <x:c r="Y126" s="129" t="str">
        <x:f>IF(R126="AMG C43","No","Yes")</x:f>
        <x:v>Yes</x:v>
      </x:c>
      <x:c r="Z126" s="144" t="str">
        <x:f>IF(Y126="No","Excluded from final analysis: AMG performance model outside the predefined C300 candidate category.","")</x:f>
      </x:c>
    </x:row>
    <x:row r="127">
      <x:c r="A127" s="129" t="str">
        <x:v>AUD4_017</x:v>
      </x:c>
      <x:c r="B127" s="132" t="n">
        <x:v>46233</x:v>
      </x:c>
      <x:c r="C127" s="129" t="str">
        <x:v>North York</x:v>
      </x:c>
      <x:c r="D127" s="129" t="str">
        <x:v>Audi</x:v>
      </x:c>
      <x:c r="E127" s="129" t="str">
        <x:v>A4</x:v>
      </x:c>
      <x:c r="F127" s="129" t="str">
        <x:v>Komfort</x:v>
      </x:c>
      <x:c r="G127" s="135" t="n">
        <x:v>2020</x:v>
      </x:c>
      <x:c r="H127" s="138" t="n">
        <x:v>20999</x:v>
      </x:c>
      <x:c r="I127" s="141" t="n">
        <x:v>107222</x:v>
      </x:c>
      <x:c r="J127" s="129" t="str">
        <x:v>Sedan</x:v>
      </x:c>
      <x:c r="K127" s="129" t="str">
        <x:v>AWD</x:v>
      </x:c>
      <x:c r="L127" s="129" t="str">
        <x:v>2.0L Turbo I4</x:v>
      </x:c>
      <x:c r="M127" s="129" t="str">
        <x:v>Gasoline</x:v>
      </x:c>
      <x:c r="N127" s="129" t="str">
        <x:v>7-speed S tronic DCT</x:v>
      </x:c>
      <x:c r="O127" s="129" t="str">
        <x:v>Good Deal</x:v>
      </x:c>
      <x:c r="P127" s="129" t="str">
        <x:v>B9.5</x:v>
      </x:c>
      <x:c r="Q127" s="144" t="str">
        <x:v>quattro; $1,000 price reduction</x:v>
      </x:c>
      <x:c r="R127" s="129" t="str">
        <x:v>A4</x:v>
      </x:c>
      <x:c r="S127" s="129" t="str">
        <x:v>Compact Luxury</x:v>
      </x:c>
      <x:c r="T127" s="147" t="n">
        <x:f>2026-G127</x:f>
        <x:v>6</x:v>
      </x:c>
      <x:c r="U127" s="150" t="n">
        <x:f>IF(T127&gt;0,I127/T127,"")</x:f>
        <x:v>17870.333333333332</x:v>
      </x:c>
      <x:c r="V127" s="129" t="str">
        <x:v>Regular Gasoline</x:v>
      </x:c>
      <x:c r="W127" s="129" t="str">
        <x:v>No</x:v>
      </x:c>
      <x:c r="X127" s="129" t="str">
        <x:v>Normal</x:v>
      </x:c>
      <x:c r="Y127" s="129" t="str">
        <x:f>IF(R127="AMG C43","No","Yes")</x:f>
        <x:v>Yes</x:v>
      </x:c>
      <x:c r="Z127" s="144" t="str">
        <x:f>IF(Y127="No","Excluded from final analysis: AMG performance model outside the predefined C300 candidate category.","")</x:f>
      </x:c>
    </x:row>
    <x:row r="128">
      <x:c r="A128" s="129" t="str">
        <x:v>AUD4_018</x:v>
      </x:c>
      <x:c r="B128" s="132" t="n">
        <x:v>46233</x:v>
      </x:c>
      <x:c r="C128" s="129" t="str">
        <x:v>Toronto</x:v>
      </x:c>
      <x:c r="D128" s="129" t="str">
        <x:v>Audi</x:v>
      </x:c>
      <x:c r="E128" s="129" t="str">
        <x:v>A4</x:v>
      </x:c>
      <x:c r="F128" s="129" t="str">
        <x:v>Premium Plus S Line</x:v>
      </x:c>
      <x:c r="G128" s="135" t="n">
        <x:v>2023</x:v>
      </x:c>
      <x:c r="H128" s="138" t="n">
        <x:v>35895</x:v>
      </x:c>
      <x:c r="I128" s="141" t="n">
        <x:v>15921</x:v>
      </x:c>
      <x:c r="J128" s="129" t="str">
        <x:v>Sedan</x:v>
      </x:c>
      <x:c r="K128" s="129" t="str">
        <x:v>AWD</x:v>
      </x:c>
      <x:c r="L128" s="129" t="str">
        <x:v>2.0L Turbo I4</x:v>
      </x:c>
      <x:c r="M128" s="129" t="str">
        <x:v>Gasoline</x:v>
      </x:c>
      <x:c r="N128" s="129" t="str">
        <x:v>7-speed S tronic DCT</x:v>
      </x:c>
      <x:c r="O128" s="129" t="str">
        <x:v>Good Deal</x:v>
      </x:c>
      <x:c r="P128" s="129" t="str">
        <x:v>B9.5</x:v>
      </x:c>
      <x:c r="Q128" s="144" t="str">
        <x:v>quattro; low mileage; verify import status</x:v>
      </x:c>
      <x:c r="R128" s="129" t="str">
        <x:v>A4</x:v>
      </x:c>
      <x:c r="S128" s="129" t="str">
        <x:v>Compact Luxury</x:v>
      </x:c>
      <x:c r="T128" s="147" t="n">
        <x:f>2026-G128</x:f>
        <x:v>3</x:v>
      </x:c>
      <x:c r="U128" s="150" t="n">
        <x:f>IF(T128&gt;0,I128/T128,"")</x:f>
        <x:v>5307</x:v>
      </x:c>
      <x:c r="V128" s="129" t="str">
        <x:v>Regular Gasoline</x:v>
      </x:c>
      <x:c r="W128" s="129" t="str">
        <x:v>No</x:v>
      </x:c>
      <x:c r="X128" s="129" t="str">
        <x:v>Normal</x:v>
      </x:c>
      <x:c r="Y128" s="129" t="str">
        <x:f>IF(R128="AMG C43","No","Yes")</x:f>
        <x:v>Yes</x:v>
      </x:c>
      <x:c r="Z128" s="144" t="str">
        <x:f>IF(Y128="No","Excluded from final analysis: AMG performance model outside the predefined C300 candidate category.","")</x:f>
      </x:c>
    </x:row>
    <x:row r="129">
      <x:c r="A129" s="129" t="str">
        <x:v>AUD4_019</x:v>
      </x:c>
      <x:c r="B129" s="132" t="n">
        <x:v>46233</x:v>
      </x:c>
      <x:c r="C129" s="129" t="str">
        <x:v>North York</x:v>
      </x:c>
      <x:c r="D129" s="129" t="str">
        <x:v>Audi</x:v>
      </x:c>
      <x:c r="E129" s="129" t="str">
        <x:v>A4</x:v>
      </x:c>
      <x:c r="F129" s="129" t="str">
        <x:v>Technik</x:v>
      </x:c>
      <x:c r="G129" s="135" t="n">
        <x:v>2020</x:v>
      </x:c>
      <x:c r="H129" s="138" t="n">
        <x:v>28770</x:v>
      </x:c>
      <x:c r="I129" s="141" t="n">
        <x:v>77000</x:v>
      </x:c>
      <x:c r="J129" s="129" t="str">
        <x:v>Sedan</x:v>
      </x:c>
      <x:c r="K129" s="129" t="str">
        <x:v>AWD</x:v>
      </x:c>
      <x:c r="L129" s="129" t="str">
        <x:v>2.0L Turbo I4</x:v>
      </x:c>
      <x:c r="M129" s="129" t="str">
        <x:v>Gasoline</x:v>
      </x:c>
      <x:c r="N129" s="129" t="str">
        <x:v>7-speed S tronic DCT</x:v>
      </x:c>
      <x:c r="O129" s="129" t="str">
        <x:v>Fair Deal</x:v>
      </x:c>
      <x:c r="P129" s="129" t="str">
        <x:v>B9.5</x:v>
      </x:c>
      <x:c r="Q129" s="144" t="str">
        <x:v>quattro</x:v>
      </x:c>
      <x:c r="R129" s="129" t="str">
        <x:v>A4</x:v>
      </x:c>
      <x:c r="S129" s="129" t="str">
        <x:v>Compact Luxury</x:v>
      </x:c>
      <x:c r="T129" s="147" t="n">
        <x:f>2026-G129</x:f>
        <x:v>6</x:v>
      </x:c>
      <x:c r="U129" s="150" t="n">
        <x:f>IF(T129&gt;0,I129/T129,"")</x:f>
        <x:v>12833.333333333334</x:v>
      </x:c>
      <x:c r="V129" s="129" t="str">
        <x:v>Regular Gasoline</x:v>
      </x:c>
      <x:c r="W129" s="129" t="str">
        <x:v>No</x:v>
      </x:c>
      <x:c r="X129" s="129" t="str">
        <x:v>Normal</x:v>
      </x:c>
      <x:c r="Y129" s="129" t="str">
        <x:f>IF(R129="AMG C43","No","Yes")</x:f>
        <x:v>Yes</x:v>
      </x:c>
      <x:c r="Z129" s="144" t="str">
        <x:f>IF(Y129="No","Excluded from final analysis: AMG performance model outside the predefined C300 candidate category.","")</x:f>
      </x:c>
    </x:row>
    <x:row r="130">
      <x:c r="A130" s="129" t="str">
        <x:v>AUD4_020</x:v>
      </x:c>
      <x:c r="B130" s="132" t="n">
        <x:v>46233</x:v>
      </x:c>
      <x:c r="C130" s="129" t="str">
        <x:v>Guelph</x:v>
      </x:c>
      <x:c r="D130" s="129" t="str">
        <x:v>Audi</x:v>
      </x:c>
      <x:c r="E130" s="129" t="str">
        <x:v>A4</x:v>
      </x:c>
      <x:c r="F130" s="129" t="str">
        <x:v>Technik</x:v>
      </x:c>
      <x:c r="G130" s="135" t="n">
        <x:v>2020</x:v>
      </x:c>
      <x:c r="H130" s="138" t="n">
        <x:v>29750</x:v>
      </x:c>
      <x:c r="I130" s="141" t="n">
        <x:v>65000</x:v>
      </x:c>
      <x:c r="J130" s="129" t="str">
        <x:v>Sedan</x:v>
      </x:c>
      <x:c r="K130" s="129" t="str">
        <x:v>AWD</x:v>
      </x:c>
      <x:c r="L130" s="129" t="str">
        <x:v>2.0L Turbo I4</x:v>
      </x:c>
      <x:c r="M130" s="129" t="str">
        <x:v>Gasoline</x:v>
      </x:c>
      <x:c r="N130" s="129" t="str">
        <x:v>7-speed S tronic DCT</x:v>
      </x:c>
      <x:c r="O130" s="129" t="str">
        <x:v>Fair Deal</x:v>
      </x:c>
      <x:c r="P130" s="129" t="str">
        <x:v>B9.5</x:v>
      </x:c>
      <x:c r="Q130" s="144" t="str">
        <x:v>quattro</x:v>
      </x:c>
      <x:c r="R130" s="129" t="str">
        <x:v>A4</x:v>
      </x:c>
      <x:c r="S130" s="129" t="str">
        <x:v>Compact Luxury</x:v>
      </x:c>
      <x:c r="T130" s="147" t="n">
        <x:f>2026-G130</x:f>
        <x:v>6</x:v>
      </x:c>
      <x:c r="U130" s="150" t="n">
        <x:f>IF(T130&gt;0,I130/T130,"")</x:f>
        <x:v>10833.333333333334</x:v>
      </x:c>
      <x:c r="V130" s="129" t="str">
        <x:v>Regular Gasoline</x:v>
      </x:c>
      <x:c r="W130" s="129" t="str">
        <x:v>No</x:v>
      </x:c>
      <x:c r="X130" s="129" t="str">
        <x:v>Normal</x:v>
      </x:c>
      <x:c r="Y130" s="129" t="str">
        <x:f>IF(R130="AMG C43","No","Yes")</x:f>
        <x:v>Yes</x:v>
      </x:c>
      <x:c r="Z130" s="144" t="str">
        <x:f>IF(Y130="No","Excluded from final analysis: AMG performance model outside the predefined C300 candidate category.","")</x:f>
      </x:c>
    </x:row>
    <x:row r="131">
      <x:c r="A131" s="129" t="str">
        <x:v>AUD4_021</x:v>
      </x:c>
      <x:c r="B131" s="132" t="n">
        <x:v>46233</x:v>
      </x:c>
      <x:c r="C131" s="129" t="str">
        <x:v>Toronto</x:v>
      </x:c>
      <x:c r="D131" s="129" t="str">
        <x:v>Audi</x:v>
      </x:c>
      <x:c r="E131" s="129" t="str">
        <x:v>A4</x:v>
      </x:c>
      <x:c r="F131" s="129" t="str">
        <x:v>Komfort 45 TFSI</x:v>
      </x:c>
      <x:c r="G131" s="135" t="n">
        <x:v>2022</x:v>
      </x:c>
      <x:c r="H131" s="138" t="n">
        <x:v>32860</x:v>
      </x:c>
      <x:c r="I131" s="141" t="n">
        <x:v>35333</x:v>
      </x:c>
      <x:c r="J131" s="129" t="str">
        <x:v>Sedan</x:v>
      </x:c>
      <x:c r="K131" s="129" t="str">
        <x:v>AWD</x:v>
      </x:c>
      <x:c r="L131" s="129" t="str">
        <x:v>2.0L Turbo I4</x:v>
      </x:c>
      <x:c r="M131" s="129" t="str">
        <x:v>Gasoline</x:v>
      </x:c>
      <x:c r="N131" s="129" t="str">
        <x:v>7-speed S tronic DCT</x:v>
      </x:c>
      <x:c r="O131" s="129" t="str">
        <x:v>Fair Deal</x:v>
      </x:c>
      <x:c r="P131" s="129" t="str">
        <x:v>B9.5</x:v>
      </x:c>
      <x:c r="Q131" s="144" t="str">
        <x:v>quattro; Certified Pre-Owned</x:v>
      </x:c>
      <x:c r="R131" s="129" t="str">
        <x:v>A4</x:v>
      </x:c>
      <x:c r="S131" s="129" t="str">
        <x:v>Compact Luxury</x:v>
      </x:c>
      <x:c r="T131" s="147" t="n">
        <x:f>2026-G131</x:f>
        <x:v>4</x:v>
      </x:c>
      <x:c r="U131" s="150" t="n">
        <x:f>IF(T131&gt;0,I131/T131,"")</x:f>
        <x:v>8833.25</x:v>
      </x:c>
      <x:c r="V131" s="129" t="str">
        <x:v>Regular Gasoline</x:v>
      </x:c>
      <x:c r="W131" s="129" t="str">
        <x:v>No</x:v>
      </x:c>
      <x:c r="X131" s="129" t="str">
        <x:v>Normal</x:v>
      </x:c>
      <x:c r="Y131" s="129" t="str">
        <x:f>IF(R131="AMG C43","No","Yes")</x:f>
        <x:v>Yes</x:v>
      </x:c>
      <x:c r="Z131" s="144" t="str">
        <x:f>IF(Y131="No","Excluded from final analysis: AMG performance model outside the predefined C300 candidate category.","")</x:f>
      </x:c>
    </x:row>
    <x:row r="132">
      <x:c r="A132" s="129" t="str">
        <x:v>AUD4_022</x:v>
      </x:c>
      <x:c r="B132" s="132" t="n">
        <x:v>46233</x:v>
      </x:c>
      <x:c r="C132" s="129" t="str">
        <x:v>Toronto</x:v>
      </x:c>
      <x:c r="D132" s="129" t="str">
        <x:v>Audi</x:v>
      </x:c>
      <x:c r="E132" s="129" t="str">
        <x:v>A4</x:v>
      </x:c>
      <x:c r="F132" s="129" t="str">
        <x:v>Komfort</x:v>
      </x:c>
      <x:c r="G132" s="135" t="n">
        <x:v>2020</x:v>
      </x:c>
      <x:c r="H132" s="138" t="n">
        <x:v>24988</x:v>
      </x:c>
      <x:c r="I132" s="141" t="n">
        <x:v>84000</x:v>
      </x:c>
      <x:c r="J132" s="129" t="str">
        <x:v>Sedan</x:v>
      </x:c>
      <x:c r="K132" s="129" t="str">
        <x:v>AWD</x:v>
      </x:c>
      <x:c r="L132" s="129" t="str">
        <x:v>2.0L Turbo I4</x:v>
      </x:c>
      <x:c r="M132" s="129" t="str">
        <x:v>Gasoline</x:v>
      </x:c>
      <x:c r="N132" s="129" t="str">
        <x:v>7-speed S tronic DCT</x:v>
      </x:c>
      <x:c r="O132" s="129" t="str">
        <x:v>Fair Deal</x:v>
      </x:c>
      <x:c r="P132" s="129" t="str">
        <x:v>B9.5</x:v>
      </x:c>
      <x:c r="Q132" s="144" t="str">
        <x:v>quattro</x:v>
      </x:c>
      <x:c r="R132" s="129" t="str">
        <x:v>A4</x:v>
      </x:c>
      <x:c r="S132" s="129" t="str">
        <x:v>Compact Luxury</x:v>
      </x:c>
      <x:c r="T132" s="147" t="n">
        <x:f>2026-G132</x:f>
        <x:v>6</x:v>
      </x:c>
      <x:c r="U132" s="150" t="n">
        <x:f>IF(T132&gt;0,I132/T132,"")</x:f>
        <x:v>14000</x:v>
      </x:c>
      <x:c r="V132" s="129" t="str">
        <x:v>Regular Gasoline</x:v>
      </x:c>
      <x:c r="W132" s="129" t="str">
        <x:v>No</x:v>
      </x:c>
      <x:c r="X132" s="129" t="str">
        <x:v>Normal</x:v>
      </x:c>
      <x:c r="Y132" s="129" t="str">
        <x:f>IF(R132="AMG C43","No","Yes")</x:f>
        <x:v>Yes</x:v>
      </x:c>
      <x:c r="Z132" s="144" t="str">
        <x:f>IF(Y132="No","Excluded from final analysis: AMG performance model outside the predefined C300 candidate category.","")</x:f>
      </x:c>
    </x:row>
    <x:row r="133">
      <x:c r="A133" s="129" t="str">
        <x:v>A5SB_001</x:v>
      </x:c>
      <x:c r="B133" s="132" t="n">
        <x:v>46233</x:v>
      </x:c>
      <x:c r="C133" s="129" t="str">
        <x:v>Oakville</x:v>
      </x:c>
      <x:c r="D133" s="129" t="str">
        <x:v>Audi</x:v>
      </x:c>
      <x:c r="E133" s="129" t="str">
        <x:v>A5 Sportback</x:v>
      </x:c>
      <x:c r="F133" s="129" t="str">
        <x:v>Premium Plus 45 TFSI</x:v>
      </x:c>
      <x:c r="G133" s="135" t="n">
        <x:v>2022</x:v>
      </x:c>
      <x:c r="H133" s="138" t="n">
        <x:v>35495</x:v>
      </x:c>
      <x:c r="I133" s="141" t="n">
        <x:v>47200</x:v>
      </x:c>
      <x:c r="J133" s="129" t="str">
        <x:v>Sportback</x:v>
      </x:c>
      <x:c r="K133" s="129" t="str">
        <x:v>AWD</x:v>
      </x:c>
      <x:c r="L133" s="129" t="str">
        <x:v>2.0L Turbo I4</x:v>
      </x:c>
      <x:c r="M133" s="129" t="str">
        <x:v>Gasoline</x:v>
      </x:c>
      <x:c r="N133" s="129" t="str">
        <x:v>7-speed S tronic DCT</x:v>
      </x:c>
      <x:c r="O133" s="129" t="str">
        <x:v>Good Deal</x:v>
      </x:c>
      <x:c r="P133" s="129" t="str">
        <x:v>B9.5</x:v>
      </x:c>
      <x:c r="Q133" s="144" t="str">
        <x:v>quattro; US-style trim name; duplicate listing removed</x:v>
      </x:c>
      <x:c r="R133" s="129" t="str">
        <x:v>A5 Sportback</x:v>
      </x:c>
      <x:c r="S133" s="129" t="str">
        <x:v>Compact Luxury</x:v>
      </x:c>
      <x:c r="T133" s="147" t="n">
        <x:f>2026-G133</x:f>
        <x:v>4</x:v>
      </x:c>
      <x:c r="U133" s="150" t="n">
        <x:f>IF(T133&gt;0,I133/T133,"")</x:f>
        <x:v>11800</x:v>
      </x:c>
      <x:c r="V133" s="129" t="str">
        <x:v>Regular Gasoline</x:v>
      </x:c>
      <x:c r="W133" s="129" t="str">
        <x:v>No</x:v>
      </x:c>
      <x:c r="X133" s="129" t="str">
        <x:v>Normal</x:v>
      </x:c>
      <x:c r="Y133" s="129" t="str">
        <x:f>IF(R133="AMG C43","No","Yes")</x:f>
        <x:v>Yes</x:v>
      </x:c>
      <x:c r="Z133" s="144" t="str">
        <x:f>IF(Y133="No","Excluded from final analysis: AMG performance model outside the predefined C300 candidate category.","")</x:f>
      </x:c>
    </x:row>
    <x:row r="134">
      <x:c r="A134" s="129" t="str">
        <x:v>A5SB_002</x:v>
      </x:c>
      <x:c r="B134" s="132" t="n">
        <x:v>46233</x:v>
      </x:c>
      <x:c r="C134" s="129" t="str">
        <x:v>Mississauga</x:v>
      </x:c>
      <x:c r="D134" s="129" t="str">
        <x:v>Audi</x:v>
      </x:c>
      <x:c r="E134" s="129" t="str">
        <x:v>A5 Sportback</x:v>
      </x:c>
      <x:c r="F134" s="129" t="str">
        <x:v>Progressiv</x:v>
      </x:c>
      <x:c r="G134" s="135" t="n">
        <x:v>2021</x:v>
      </x:c>
      <x:c r="H134" s="138" t="n">
        <x:v>32995</x:v>
      </x:c>
      <x:c r="I134" s="141" t="n">
        <x:v>61409</x:v>
      </x:c>
      <x:c r="J134" s="129" t="str">
        <x:v>Sportback</x:v>
      </x:c>
      <x:c r="K134" s="129" t="str">
        <x:v>AWD</x:v>
      </x:c>
      <x:c r="L134" s="129" t="str">
        <x:v>2.0L Turbo I4</x:v>
      </x:c>
      <x:c r="M134" s="129" t="str">
        <x:v>Gasoline</x:v>
      </x:c>
      <x:c r="N134" s="129" t="str">
        <x:v>7-speed S tronic DCT</x:v>
      </x:c>
      <x:c r="O134" s="129" t="str">
        <x:v>Great Deal</x:v>
      </x:c>
      <x:c r="P134" s="129" t="str">
        <x:v>B9.5</x:v>
      </x:c>
      <x:c r="Q134" s="144" t="str">
        <x:v>quattro</x:v>
      </x:c>
      <x:c r="R134" s="129" t="str">
        <x:v>A5 Sportback</x:v>
      </x:c>
      <x:c r="S134" s="129" t="str">
        <x:v>Compact Luxury</x:v>
      </x:c>
      <x:c r="T134" s="147" t="n">
        <x:f>2026-G134</x:f>
        <x:v>5</x:v>
      </x:c>
      <x:c r="U134" s="150" t="n">
        <x:f>IF(T134&gt;0,I134/T134,"")</x:f>
        <x:v>12281.8</x:v>
      </x:c>
      <x:c r="V134" s="129" t="str">
        <x:v>Regular Gasoline</x:v>
      </x:c>
      <x:c r="W134" s="129" t="str">
        <x:v>No</x:v>
      </x:c>
      <x:c r="X134" s="129" t="str">
        <x:v>Normal</x:v>
      </x:c>
      <x:c r="Y134" s="129" t="str">
        <x:f>IF(R134="AMG C43","No","Yes")</x:f>
        <x:v>Yes</x:v>
      </x:c>
      <x:c r="Z134" s="144" t="str">
        <x:f>IF(Y134="No","Excluded from final analysis: AMG performance model outside the predefined C300 candidate category.","")</x:f>
      </x:c>
    </x:row>
    <x:row r="135">
      <x:c r="A135" s="129" t="str">
        <x:v>A5SB_003</x:v>
      </x:c>
      <x:c r="B135" s="132" t="n">
        <x:v>46233</x:v>
      </x:c>
      <x:c r="C135" s="129" t="str">
        <x:v>Whitby</x:v>
      </x:c>
      <x:c r="D135" s="129" t="str">
        <x:v>Audi</x:v>
      </x:c>
      <x:c r="E135" s="129" t="str">
        <x:v>A5 Sportback</x:v>
      </x:c>
      <x:c r="F135" s="129" t="str">
        <x:v>Progressiv</x:v>
      </x:c>
      <x:c r="G135" s="135" t="n">
        <x:v>2020</x:v>
      </x:c>
      <x:c r="H135" s="138" t="n">
        <x:v>28990</x:v>
      </x:c>
      <x:c r="I135" s="141" t="n">
        <x:v>69500</x:v>
      </x:c>
      <x:c r="J135" s="129" t="str">
        <x:v>Sportback</x:v>
      </x:c>
      <x:c r="K135" s="129" t="str">
        <x:v>AWD</x:v>
      </x:c>
      <x:c r="L135" s="129" t="str">
        <x:v>2.0L Turbo I4</x:v>
      </x:c>
      <x:c r="M135" s="129" t="str">
        <x:v>Gasoline</x:v>
      </x:c>
      <x:c r="N135" s="129" t="str">
        <x:v>7-speed S tronic DCT</x:v>
      </x:c>
      <x:c r="O135" s="129" t="str">
        <x:v>Great Deal</x:v>
      </x:c>
      <x:c r="P135" s="129" t="str">
        <x:v>B9</x:v>
      </x:c>
      <x:c r="Q135" s="144" t="str">
        <x:v>quattro</x:v>
      </x:c>
      <x:c r="R135" s="129" t="str">
        <x:v>A5 Sportback</x:v>
      </x:c>
      <x:c r="S135" s="129" t="str">
        <x:v>Compact Luxury</x:v>
      </x:c>
      <x:c r="T135" s="147" t="n">
        <x:f>2026-G135</x:f>
        <x:v>6</x:v>
      </x:c>
      <x:c r="U135" s="150" t="n">
        <x:f>IF(T135&gt;0,I135/T135,"")</x:f>
        <x:v>11583.333333333334</x:v>
      </x:c>
      <x:c r="V135" s="129" t="str">
        <x:v>Regular Gasoline</x:v>
      </x:c>
      <x:c r="W135" s="129" t="str">
        <x:v>No</x:v>
      </x:c>
      <x:c r="X135" s="129" t="str">
        <x:v>Normal</x:v>
      </x:c>
      <x:c r="Y135" s="129" t="str">
        <x:f>IF(R135="AMG C43","No","Yes")</x:f>
        <x:v>Yes</x:v>
      </x:c>
      <x:c r="Z135" s="144" t="str">
        <x:f>IF(Y135="No","Excluded from final analysis: AMG performance model outside the predefined C300 candidate category.","")</x:f>
      </x:c>
    </x:row>
    <x:row r="136">
      <x:c r="A136" s="129" t="str">
        <x:v>A5SB_004</x:v>
      </x:c>
      <x:c r="B136" s="132" t="n">
        <x:v>46233</x:v>
      </x:c>
      <x:c r="C136" s="129" t="str">
        <x:v>St-Laurent</x:v>
      </x:c>
      <x:c r="D136" s="129" t="str">
        <x:v>Audi</x:v>
      </x:c>
      <x:c r="E136" s="129" t="str">
        <x:v>A5 Sportback</x:v>
      </x:c>
      <x:c r="F136" s="129" t="str">
        <x:v>Technik 45 TFSI</x:v>
      </x:c>
      <x:c r="G136" s="135" t="n">
        <x:v>2023</x:v>
      </x:c>
      <x:c r="H136" s="138" t="n">
        <x:v>40517</x:v>
      </x:c>
      <x:c r="I136" s="141" t="n">
        <x:v>41003</x:v>
      </x:c>
      <x:c r="J136" s="129" t="str">
        <x:v>Sportback</x:v>
      </x:c>
      <x:c r="K136" s="129" t="str">
        <x:v>AWD</x:v>
      </x:c>
      <x:c r="L136" s="129" t="str">
        <x:v>2.0L Turbo I4</x:v>
      </x:c>
      <x:c r="M136" s="129" t="str">
        <x:v>Gasoline</x:v>
      </x:c>
      <x:c r="N136" s="129" t="str">
        <x:v>7-speed S tronic DCT</x:v>
      </x:c>
      <x:c r="O136" s="129" t="str">
        <x:v>Great Deal</x:v>
      </x:c>
      <x:c r="P136" s="129" t="str">
        <x:v>B9.5</x:v>
      </x:c>
      <x:c r="Q136" s="144" t="str">
        <x:v>quattro; Certified Pre-Owned; price includes $522 shipping</x:v>
      </x:c>
      <x:c r="R136" s="129" t="str">
        <x:v>A5 Sportback</x:v>
      </x:c>
      <x:c r="S136" s="129" t="str">
        <x:v>Compact Luxury</x:v>
      </x:c>
      <x:c r="T136" s="147" t="n">
        <x:f>2026-G136</x:f>
        <x:v>3</x:v>
      </x:c>
      <x:c r="U136" s="150" t="n">
        <x:f>IF(T136&gt;0,I136/T136,"")</x:f>
        <x:v>13667.666666666666</x:v>
      </x:c>
      <x:c r="V136" s="129" t="str">
        <x:v>Regular Gasoline</x:v>
      </x:c>
      <x:c r="W136" s="129" t="str">
        <x:v>No</x:v>
      </x:c>
      <x:c r="X136" s="129" t="str">
        <x:v>Normal</x:v>
      </x:c>
      <x:c r="Y136" s="129" t="str">
        <x:f>IF(R136="AMG C43","No","Yes")</x:f>
        <x:v>Yes</x:v>
      </x:c>
      <x:c r="Z136" s="144" t="str">
        <x:f>IF(Y136="No","Excluded from final analysis: AMG performance model outside the predefined C300 candidate category.","")</x:f>
      </x:c>
    </x:row>
    <x:row r="137">
      <x:c r="A137" s="129" t="str">
        <x:v>A5SB_005</x:v>
      </x:c>
      <x:c r="B137" s="132" t="n">
        <x:v>46233</x:v>
      </x:c>
      <x:c r="C137" s="129" t="str">
        <x:v>Toronto</x:v>
      </x:c>
      <x:c r="D137" s="129" t="str">
        <x:v>Audi</x:v>
      </x:c>
      <x:c r="E137" s="129" t="str">
        <x:v>A5 Sportback</x:v>
      </x:c>
      <x:c r="F137" s="129" t="str">
        <x:v>Prestige S Line 45 TFSI</x:v>
      </x:c>
      <x:c r="G137" s="135" t="n">
        <x:v>2024</x:v>
      </x:c>
      <x:c r="H137" s="138" t="n">
        <x:v>42895</x:v>
      </x:c>
      <x:c r="I137" s="141" t="n">
        <x:v>28755</x:v>
      </x:c>
      <x:c r="J137" s="129" t="str">
        <x:v>Sportback</x:v>
      </x:c>
      <x:c r="K137" s="129" t="str">
        <x:v>AWD</x:v>
      </x:c>
      <x:c r="L137" s="129" t="str">
        <x:v>2.0L Turbo I4</x:v>
      </x:c>
      <x:c r="M137" s="129" t="str">
        <x:v>Gasoline</x:v>
      </x:c>
      <x:c r="N137" s="129" t="str">
        <x:v>7-speed S tronic DCT</x:v>
      </x:c>
      <x:c r="O137" s="129" t="str">
        <x:v>Great Deal</x:v>
      </x:c>
      <x:c r="P137" s="129" t="str">
        <x:v>B9.5</x:v>
      </x:c>
      <x:c r="Q137" s="144" t="str">
        <x:v>quattro; US-style trim name; verify import status</x:v>
      </x:c>
      <x:c r="R137" s="129" t="str">
        <x:v>A5 Sportback</x:v>
      </x:c>
      <x:c r="S137" s="129" t="str">
        <x:v>Compact Luxury</x:v>
      </x:c>
      <x:c r="T137" s="147" t="n">
        <x:f>2026-G137</x:f>
        <x:v>2</x:v>
      </x:c>
      <x:c r="U137" s="150" t="n">
        <x:f>IF(T137&gt;0,I137/T137,"")</x:f>
        <x:v>14377.5</x:v>
      </x:c>
      <x:c r="V137" s="129" t="str">
        <x:v>Regular Gasoline</x:v>
      </x:c>
      <x:c r="W137" s="129" t="str">
        <x:v>No</x:v>
      </x:c>
      <x:c r="X137" s="129" t="str">
        <x:v>Normal</x:v>
      </x:c>
      <x:c r="Y137" s="129" t="str">
        <x:f>IF(R137="AMG C43","No","Yes")</x:f>
        <x:v>Yes</x:v>
      </x:c>
      <x:c r="Z137" s="144" t="str">
        <x:f>IF(Y137="No","Excluded from final analysis: AMG performance model outside the predefined C300 candidate category.","")</x:f>
      </x:c>
    </x:row>
    <x:row r="138">
      <x:c r="A138" s="129" t="str">
        <x:v>A5SB_006</x:v>
      </x:c>
      <x:c r="B138" s="132" t="n">
        <x:v>46233</x:v>
      </x:c>
      <x:c r="C138" s="129" t="str">
        <x:v>North York</x:v>
      </x:c>
      <x:c r="D138" s="129" t="str">
        <x:v>Audi</x:v>
      </x:c>
      <x:c r="E138" s="129" t="str">
        <x:v>A5 Sportback</x:v>
      </x:c>
      <x:c r="F138" s="129" t="str">
        <x:v>Premium Plus 45 TFSI</x:v>
      </x:c>
      <x:c r="G138" s="135" t="n">
        <x:v>2022</x:v>
      </x:c>
      <x:c r="H138" s="138" t="n">
        <x:v>32980</x:v>
      </x:c>
      <x:c r="I138" s="141" t="n">
        <x:v>82951</x:v>
      </x:c>
      <x:c r="J138" s="129" t="str">
        <x:v>Sportback</x:v>
      </x:c>
      <x:c r="K138" s="129" t="str">
        <x:v>AWD</x:v>
      </x:c>
      <x:c r="L138" s="129" t="str">
        <x:v>2.0L Turbo I4</x:v>
      </x:c>
      <x:c r="M138" s="129" t="str">
        <x:v>Gasoline</x:v>
      </x:c>
      <x:c r="N138" s="129" t="str">
        <x:v>7-speed S tronic DCT</x:v>
      </x:c>
      <x:c r="O138" s="129" t="str">
        <x:v>Good Deal</x:v>
      </x:c>
      <x:c r="P138" s="129" t="str">
        <x:v>B9.5</x:v>
      </x:c>
      <x:c r="Q138" s="144" t="str">
        <x:v>quattro; US-style trim name; verify import status</x:v>
      </x:c>
      <x:c r="R138" s="129" t="str">
        <x:v>A5 Sportback</x:v>
      </x:c>
      <x:c r="S138" s="129" t="str">
        <x:v>Compact Luxury</x:v>
      </x:c>
      <x:c r="T138" s="147" t="n">
        <x:f>2026-G138</x:f>
        <x:v>4</x:v>
      </x:c>
      <x:c r="U138" s="150" t="n">
        <x:f>IF(T138&gt;0,I138/T138,"")</x:f>
        <x:v>20737.75</x:v>
      </x:c>
      <x:c r="V138" s="129" t="str">
        <x:v>Regular Gasoline</x:v>
      </x:c>
      <x:c r="W138" s="129" t="str">
        <x:v>No</x:v>
      </x:c>
      <x:c r="X138" s="129" t="str">
        <x:v>Normal</x:v>
      </x:c>
      <x:c r="Y138" s="129" t="str">
        <x:f>IF(R138="AMG C43","No","Yes")</x:f>
        <x:v>Yes</x:v>
      </x:c>
      <x:c r="Z138" s="144" t="str">
        <x:f>IF(Y138="No","Excluded from final analysis: AMG performance model outside the predefined C300 candidate category.","")</x:f>
      </x:c>
    </x:row>
    <x:row r="139">
      <x:c r="A139" s="129" t="str">
        <x:v>A5SB_007</x:v>
      </x:c>
      <x:c r="B139" s="132" t="n">
        <x:v>46233</x:v>
      </x:c>
      <x:c r="C139" s="129" t="str">
        <x:v>Markham</x:v>
      </x:c>
      <x:c r="D139" s="129" t="str">
        <x:v>Audi</x:v>
      </x:c>
      <x:c r="E139" s="129" t="str">
        <x:v>A5 Sportback</x:v>
      </x:c>
      <x:c r="F139" s="129" t="str">
        <x:v>Technik 45 TFSI</x:v>
      </x:c>
      <x:c r="G139" s="135" t="n">
        <x:v>2023</x:v>
      </x:c>
      <x:c r="H139" s="138" t="n">
        <x:v>35999</x:v>
      </x:c>
      <x:c r="I139" s="141" t="n">
        <x:v>77200</x:v>
      </x:c>
      <x:c r="J139" s="129" t="str">
        <x:v>Sportback</x:v>
      </x:c>
      <x:c r="K139" s="129" t="str">
        <x:v>AWD</x:v>
      </x:c>
      <x:c r="L139" s="129" t="str">
        <x:v>2.0L Turbo I4</x:v>
      </x:c>
      <x:c r="M139" s="129" t="str">
        <x:v>Gasoline</x:v>
      </x:c>
      <x:c r="N139" s="129" t="str">
        <x:v>7-speed S tronic DCT</x:v>
      </x:c>
      <x:c r="O139" s="129" t="str">
        <x:v>Good Deal</x:v>
      </x:c>
      <x:c r="P139" s="129" t="str">
        <x:v>B9.5</x:v>
      </x:c>
      <x:c r="Q139" s="144" t="str">
        <x:v>quattro</x:v>
      </x:c>
      <x:c r="R139" s="129" t="str">
        <x:v>A5 Sportback</x:v>
      </x:c>
      <x:c r="S139" s="129" t="str">
        <x:v>Compact Luxury</x:v>
      </x:c>
      <x:c r="T139" s="147" t="n">
        <x:f>2026-G139</x:f>
        <x:v>3</x:v>
      </x:c>
      <x:c r="U139" s="150" t="n">
        <x:f>IF(T139&gt;0,I139/T139,"")</x:f>
        <x:v>25733.333333333332</x:v>
      </x:c>
      <x:c r="V139" s="129" t="str">
        <x:v>Regular Gasoline</x:v>
      </x:c>
      <x:c r="W139" s="129" t="str">
        <x:v>No</x:v>
      </x:c>
      <x:c r="X139" s="129" t="str">
        <x:v>Normal</x:v>
      </x:c>
      <x:c r="Y139" s="129" t="str">
        <x:f>IF(R139="AMG C43","No","Yes")</x:f>
        <x:v>Yes</x:v>
      </x:c>
      <x:c r="Z139" s="144" t="str">
        <x:f>IF(Y139="No","Excluded from final analysis: AMG performance model outside the predefined C300 candidate category.","")</x:f>
      </x:c>
    </x:row>
    <x:row r="140">
      <x:c r="A140" s="129" t="str">
        <x:v>A5SB_008</x:v>
      </x:c>
      <x:c r="B140" s="132" t="n">
        <x:v>46233</x:v>
      </x:c>
      <x:c r="C140" s="129" t="str">
        <x:v>Vaughan</x:v>
      </x:c>
      <x:c r="D140" s="129" t="str">
        <x:v>Audi</x:v>
      </x:c>
      <x:c r="E140" s="129" t="str">
        <x:v>A5 Sportback</x:v>
      </x:c>
      <x:c r="F140" s="129" t="str">
        <x:v>Prestige S Line 45 TFSI</x:v>
      </x:c>
      <x:c r="G140" s="135" t="n">
        <x:v>2023</x:v>
      </x:c>
      <x:c r="H140" s="138" t="n">
        <x:v>39898</x:v>
      </x:c>
      <x:c r="I140" s="141" t="n">
        <x:v>50520</x:v>
      </x:c>
      <x:c r="J140" s="129" t="str">
        <x:v>Sportback</x:v>
      </x:c>
      <x:c r="K140" s="129" t="str">
        <x:v>AWD</x:v>
      </x:c>
      <x:c r="L140" s="129" t="str">
        <x:v>2.0L Turbo I4</x:v>
      </x:c>
      <x:c r="M140" s="129" t="str">
        <x:v>Gasoline</x:v>
      </x:c>
      <x:c r="N140" s="129" t="str">
        <x:v>7-speed S tronic DCT</x:v>
      </x:c>
      <x:c r="O140" s="129" t="str">
        <x:v>Good Deal</x:v>
      </x:c>
      <x:c r="P140" s="129" t="str">
        <x:v>B9.5</x:v>
      </x:c>
      <x:c r="Q140" s="144" t="str">
        <x:v>quattro; US-style trim name; verify import status</x:v>
      </x:c>
      <x:c r="R140" s="129" t="str">
        <x:v>A5 Sportback</x:v>
      </x:c>
      <x:c r="S140" s="129" t="str">
        <x:v>Compact Luxury</x:v>
      </x:c>
      <x:c r="T140" s="147" t="n">
        <x:f>2026-G140</x:f>
        <x:v>3</x:v>
      </x:c>
      <x:c r="U140" s="150" t="n">
        <x:f>IF(T140&gt;0,I140/T140,"")</x:f>
        <x:v>16840</x:v>
      </x:c>
      <x:c r="V140" s="129" t="str">
        <x:v>Regular Gasoline</x:v>
      </x:c>
      <x:c r="W140" s="129" t="str">
        <x:v>No</x:v>
      </x:c>
      <x:c r="X140" s="129" t="str">
        <x:v>Normal</x:v>
      </x:c>
      <x:c r="Y140" s="129" t="str">
        <x:f>IF(R140="AMG C43","No","Yes")</x:f>
        <x:v>Yes</x:v>
      </x:c>
      <x:c r="Z140" s="144" t="str">
        <x:f>IF(Y140="No","Excluded from final analysis: AMG performance model outside the predefined C300 candidate category.","")</x:f>
      </x:c>
    </x:row>
    <x:row r="141">
      <x:c r="A141" s="129" t="str">
        <x:v>A5SB_009</x:v>
      </x:c>
      <x:c r="B141" s="132" t="n">
        <x:v>46233</x:v>
      </x:c>
      <x:c r="C141" s="129" t="str">
        <x:v>Vaughan</x:v>
      </x:c>
      <x:c r="D141" s="129" t="str">
        <x:v>Audi</x:v>
      </x:c>
      <x:c r="E141" s="129" t="str">
        <x:v>A5 Sportback</x:v>
      </x:c>
      <x:c r="F141" s="129" t="str">
        <x:v>Technik</x:v>
      </x:c>
      <x:c r="G141" s="135" t="n">
        <x:v>2020</x:v>
      </x:c>
      <x:c r="H141" s="138" t="n">
        <x:v>27998</x:v>
      </x:c>
      <x:c r="I141" s="141" t="n">
        <x:v>91530</x:v>
      </x:c>
      <x:c r="J141" s="129" t="str">
        <x:v>Sportback</x:v>
      </x:c>
      <x:c r="K141" s="129" t="str">
        <x:v>AWD</x:v>
      </x:c>
      <x:c r="L141" s="129" t="str">
        <x:v>2.0L Turbo I4</x:v>
      </x:c>
      <x:c r="M141" s="129" t="str">
        <x:v>Gasoline</x:v>
      </x:c>
      <x:c r="N141" s="129" t="str">
        <x:v>7-speed S tronic DCT</x:v>
      </x:c>
      <x:c r="O141" s="129" t="str">
        <x:v>Good Deal</x:v>
      </x:c>
      <x:c r="P141" s="129" t="str">
        <x:v>B9</x:v>
      </x:c>
      <x:c r="Q141" s="144" t="str">
        <x:v>quattro</x:v>
      </x:c>
      <x:c r="R141" s="129" t="str">
        <x:v>A5 Sportback</x:v>
      </x:c>
      <x:c r="S141" s="129" t="str">
        <x:v>Compact Luxury</x:v>
      </x:c>
      <x:c r="T141" s="147" t="n">
        <x:f>2026-G141</x:f>
        <x:v>6</x:v>
      </x:c>
      <x:c r="U141" s="150" t="n">
        <x:f>IF(T141&gt;0,I141/T141,"")</x:f>
        <x:v>15255</x:v>
      </x:c>
      <x:c r="V141" s="129" t="str">
        <x:v>Regular Gasoline</x:v>
      </x:c>
      <x:c r="W141" s="129" t="str">
        <x:v>No</x:v>
      </x:c>
      <x:c r="X141" s="129" t="str">
        <x:v>Normal</x:v>
      </x:c>
      <x:c r="Y141" s="129" t="str">
        <x:f>IF(R141="AMG C43","No","Yes")</x:f>
        <x:v>Yes</x:v>
      </x:c>
      <x:c r="Z141" s="144" t="str">
        <x:f>IF(Y141="No","Excluded from final analysis: AMG performance model outside the predefined C300 candidate category.","")</x:f>
      </x:c>
    </x:row>
    <x:row r="142">
      <x:c r="A142" s="129" t="str">
        <x:v>A5SB_010</x:v>
      </x:c>
      <x:c r="B142" s="132" t="n">
        <x:v>46233</x:v>
      </x:c>
      <x:c r="C142" s="129" t="str">
        <x:v>Newmarket</x:v>
      </x:c>
      <x:c r="D142" s="129" t="str">
        <x:v>Audi</x:v>
      </x:c>
      <x:c r="E142" s="129" t="str">
        <x:v>A5 Sportback</x:v>
      </x:c>
      <x:c r="F142" s="129" t="str">
        <x:v>Progressiv 45 TFSI</x:v>
      </x:c>
      <x:c r="G142" s="135" t="n">
        <x:v>2023</x:v>
      </x:c>
      <x:c r="H142" s="138" t="n">
        <x:v>33288</x:v>
      </x:c>
      <x:c r="I142" s="141" t="n">
        <x:v>96585</x:v>
      </x:c>
      <x:c r="J142" s="129" t="str">
        <x:v>Sportback</x:v>
      </x:c>
      <x:c r="K142" s="129" t="str">
        <x:v>AWD</x:v>
      </x:c>
      <x:c r="L142" s="129" t="str">
        <x:v>2.0L Turbo I4</x:v>
      </x:c>
      <x:c r="M142" s="129" t="str">
        <x:v>Gasoline</x:v>
      </x:c>
      <x:c r="N142" s="129" t="str">
        <x:v>7-speed S tronic DCT</x:v>
      </x:c>
      <x:c r="O142" s="129" t="str">
        <x:v>Good Deal</x:v>
      </x:c>
      <x:c r="P142" s="129" t="str">
        <x:v>B9.5</x:v>
      </x:c>
      <x:c r="Q142" s="144" t="str">
        <x:v>quattro</x:v>
      </x:c>
      <x:c r="R142" s="129" t="str">
        <x:v>A5 Sportback</x:v>
      </x:c>
      <x:c r="S142" s="129" t="str">
        <x:v>Compact Luxury</x:v>
      </x:c>
      <x:c r="T142" s="147" t="n">
        <x:f>2026-G142</x:f>
        <x:v>3</x:v>
      </x:c>
      <x:c r="U142" s="150" t="n">
        <x:f>IF(T142&gt;0,I142/T142,"")</x:f>
        <x:v>32195</x:v>
      </x:c>
      <x:c r="V142" s="129" t="str">
        <x:v>Regular Gasoline</x:v>
      </x:c>
      <x:c r="W142" s="129" t="str">
        <x:v>No</x:v>
      </x:c>
      <x:c r="X142" s="129" t="str">
        <x:v>Normal</x:v>
      </x:c>
      <x:c r="Y142" s="129" t="str">
        <x:f>IF(R142="AMG C43","No","Yes")</x:f>
        <x:v>Yes</x:v>
      </x:c>
      <x:c r="Z142" s="144" t="str">
        <x:f>IF(Y142="No","Excluded from final analysis: AMG performance model outside the predefined C300 candidate category.","")</x:f>
      </x:c>
    </x:row>
    <x:row r="143">
      <x:c r="A143" s="129" t="str">
        <x:v>A5SB_011</x:v>
      </x:c>
      <x:c r="B143" s="132" t="n">
        <x:v>46233</x:v>
      </x:c>
      <x:c r="C143" s="129" t="str">
        <x:v>Newmarket</x:v>
      </x:c>
      <x:c r="D143" s="129" t="str">
        <x:v>Audi</x:v>
      </x:c>
      <x:c r="E143" s="129" t="str">
        <x:v>A5 Sportback</x:v>
      </x:c>
      <x:c r="F143" s="129" t="str">
        <x:v>Progressiv 45 TFSI</x:v>
      </x:c>
      <x:c r="G143" s="135" t="n">
        <x:v>2023</x:v>
      </x:c>
      <x:c r="H143" s="138" t="n">
        <x:v>36999</x:v>
      </x:c>
      <x:c r="I143" s="141" t="n">
        <x:v>84200</x:v>
      </x:c>
      <x:c r="J143" s="129" t="str">
        <x:v>Sportback</x:v>
      </x:c>
      <x:c r="K143" s="129" t="str">
        <x:v>AWD</x:v>
      </x:c>
      <x:c r="L143" s="129" t="str">
        <x:v>2.0L Turbo I4</x:v>
      </x:c>
      <x:c r="M143" s="129" t="str">
        <x:v>Gasoline</x:v>
      </x:c>
      <x:c r="N143" s="129" t="str">
        <x:v>7-speed S tronic DCT</x:v>
      </x:c>
      <x:c r="O143" s="129" t="str">
        <x:v>Fair Deal</x:v>
      </x:c>
      <x:c r="P143" s="129" t="str">
        <x:v>B9.5</x:v>
      </x:c>
      <x:c r="Q143" s="144" t="str">
        <x:v>quattro; Certified Pre-Owned</x:v>
      </x:c>
      <x:c r="R143" s="129" t="str">
        <x:v>A5 Sportback</x:v>
      </x:c>
      <x:c r="S143" s="129" t="str">
        <x:v>Compact Luxury</x:v>
      </x:c>
      <x:c r="T143" s="147" t="n">
        <x:f>2026-G143</x:f>
        <x:v>3</x:v>
      </x:c>
      <x:c r="U143" s="150" t="n">
        <x:f>IF(T143&gt;0,I143/T143,"")</x:f>
        <x:v>28066.666666666668</x:v>
      </x:c>
      <x:c r="V143" s="129" t="str">
        <x:v>Regular Gasoline</x:v>
      </x:c>
      <x:c r="W143" s="129" t="str">
        <x:v>No</x:v>
      </x:c>
      <x:c r="X143" s="129" t="str">
        <x:v>Normal</x:v>
      </x:c>
      <x:c r="Y143" s="129" t="str">
        <x:f>IF(R143="AMG C43","No","Yes")</x:f>
        <x:v>Yes</x:v>
      </x:c>
      <x:c r="Z143" s="144" t="str">
        <x:f>IF(Y143="No","Excluded from final analysis: AMG performance model outside the predefined C300 candidate category.","")</x:f>
      </x:c>
    </x:row>
    <x:row r="144">
      <x:c r="A144" s="129" t="str">
        <x:v>A5SB_012</x:v>
      </x:c>
      <x:c r="B144" s="132" t="n">
        <x:v>46233</x:v>
      </x:c>
      <x:c r="C144" s="129" t="str">
        <x:v>Newmarket</x:v>
      </x:c>
      <x:c r="D144" s="129" t="str">
        <x:v>Audi</x:v>
      </x:c>
      <x:c r="E144" s="129" t="str">
        <x:v>A5 Sportback</x:v>
      </x:c>
      <x:c r="F144" s="129" t="str">
        <x:v>Progressiv 45 TFSI</x:v>
      </x:c>
      <x:c r="G144" s="135" t="n">
        <x:v>2024</x:v>
      </x:c>
      <x:c r="H144" s="138" t="n">
        <x:v>43998</x:v>
      </x:c>
      <x:c r="I144" s="141" t="n">
        <x:v>27837</x:v>
      </x:c>
      <x:c r="J144" s="129" t="str">
        <x:v>Sportback</x:v>
      </x:c>
      <x:c r="K144" s="129" t="str">
        <x:v>AWD</x:v>
      </x:c>
      <x:c r="L144" s="129" t="str">
        <x:v>2.0L Turbo I4</x:v>
      </x:c>
      <x:c r="M144" s="129" t="str">
        <x:v>Gasoline</x:v>
      </x:c>
      <x:c r="N144" s="129" t="str">
        <x:v>7-speed S tronic DCT</x:v>
      </x:c>
      <x:c r="O144" s="129" t="str">
        <x:v>Good Deal</x:v>
      </x:c>
      <x:c r="P144" s="129" t="str">
        <x:v>B9.5</x:v>
      </x:c>
      <x:c r="Q144" s="144" t="str">
        <x:v>quattro; duplicate listing removed</x:v>
      </x:c>
      <x:c r="R144" s="129" t="str">
        <x:v>A5 Sportback</x:v>
      </x:c>
      <x:c r="S144" s="129" t="str">
        <x:v>Compact Luxury</x:v>
      </x:c>
      <x:c r="T144" s="147" t="n">
        <x:f>2026-G144</x:f>
        <x:v>2</x:v>
      </x:c>
      <x:c r="U144" s="150" t="n">
        <x:f>IF(T144&gt;0,I144/T144,"")</x:f>
        <x:v>13918.5</x:v>
      </x:c>
      <x:c r="V144" s="129" t="str">
        <x:v>Regular Gasoline</x:v>
      </x:c>
      <x:c r="W144" s="129" t="str">
        <x:v>No</x:v>
      </x:c>
      <x:c r="X144" s="129" t="str">
        <x:v>Normal</x:v>
      </x:c>
      <x:c r="Y144" s="129" t="str">
        <x:f>IF(R144="AMG C43","No","Yes")</x:f>
        <x:v>Yes</x:v>
      </x:c>
      <x:c r="Z144" s="144" t="str">
        <x:f>IF(Y144="No","Excluded from final analysis: AMG performance model outside the predefined C300 candidate category.","")</x:f>
      </x:c>
    </x:row>
    <x:row r="145">
      <x:c r="A145" s="129" t="str">
        <x:v>A5SB_013</x:v>
      </x:c>
      <x:c r="B145" s="132" t="n">
        <x:v>46233</x:v>
      </x:c>
      <x:c r="C145" s="129" t="str">
        <x:v>Oakville</x:v>
      </x:c>
      <x:c r="D145" s="129" t="str">
        <x:v>Audi</x:v>
      </x:c>
      <x:c r="E145" s="129" t="str">
        <x:v>A5 Sportback</x:v>
      </x:c>
      <x:c r="F145" s="129" t="str">
        <x:v>Progressiv 45 TFSI</x:v>
      </x:c>
      <x:c r="G145" s="135" t="n">
        <x:v>2023</x:v>
      </x:c>
      <x:c r="H145" s="138" t="n">
        <x:v>37950</x:v>
      </x:c>
      <x:c r="I145" s="141" t="n">
        <x:v>56401</x:v>
      </x:c>
      <x:c r="J145" s="129" t="str">
        <x:v>Sportback</x:v>
      </x:c>
      <x:c r="K145" s="129" t="str">
        <x:v>AWD</x:v>
      </x:c>
      <x:c r="L145" s="129" t="str">
        <x:v>2.0L Turbo I4</x:v>
      </x:c>
      <x:c r="M145" s="129" t="str">
        <x:v>Gasoline</x:v>
      </x:c>
      <x:c r="N145" s="129" t="str">
        <x:v>7-speed S tronic DCT</x:v>
      </x:c>
      <x:c r="O145" s="129" t="str">
        <x:v>Good Deal</x:v>
      </x:c>
      <x:c r="P145" s="129" t="str">
        <x:v>B9.5</x:v>
      </x:c>
      <x:c r="Q145" s="144" t="str">
        <x:v>quattro; Certified Pre-Owned; $1,500 price reduction</x:v>
      </x:c>
      <x:c r="R145" s="129" t="str">
        <x:v>A5 Sportback</x:v>
      </x:c>
      <x:c r="S145" s="129" t="str">
        <x:v>Compact Luxury</x:v>
      </x:c>
      <x:c r="T145" s="147" t="n">
        <x:f>2026-G145</x:f>
        <x:v>3</x:v>
      </x:c>
      <x:c r="U145" s="150" t="n">
        <x:f>IF(T145&gt;0,I145/T145,"")</x:f>
        <x:v>18800.333333333332</x:v>
      </x:c>
      <x:c r="V145" s="129" t="str">
        <x:v>Regular Gasoline</x:v>
      </x:c>
      <x:c r="W145" s="129" t="str">
        <x:v>No</x:v>
      </x:c>
      <x:c r="X145" s="129" t="str">
        <x:v>Normal</x:v>
      </x:c>
      <x:c r="Y145" s="129" t="str">
        <x:f>IF(R145="AMG C43","No","Yes")</x:f>
        <x:v>Yes</x:v>
      </x:c>
      <x:c r="Z145" s="144" t="str">
        <x:f>IF(Y145="No","Excluded from final analysis: AMG performance model outside the predefined C300 candidate category.","")</x:f>
      </x:c>
    </x:row>
    <x:row r="146">
      <x:c r="A146" s="129" t="str">
        <x:v>A5SB_014</x:v>
      </x:c>
      <x:c r="B146" s="132" t="n">
        <x:v>46233</x:v>
      </x:c>
      <x:c r="C146" s="129" t="str">
        <x:v>Toronto</x:v>
      </x:c>
      <x:c r="D146" s="129" t="str">
        <x:v>Audi</x:v>
      </x:c>
      <x:c r="E146" s="129" t="str">
        <x:v>A5 Sportback</x:v>
      </x:c>
      <x:c r="F146" s="129" t="str">
        <x:v>Progressiv</x:v>
      </x:c>
      <x:c r="G146" s="135" t="n">
        <x:v>2020</x:v>
      </x:c>
      <x:c r="H146" s="138" t="n">
        <x:v>24998</x:v>
      </x:c>
      <x:c r="I146" s="141" t="n">
        <x:v>115327</x:v>
      </x:c>
      <x:c r="J146" s="129" t="str">
        <x:v>Sportback</x:v>
      </x:c>
      <x:c r="K146" s="129" t="str">
        <x:v>AWD</x:v>
      </x:c>
      <x:c r="L146" s="129" t="str">
        <x:v>2.0L Turbo I4</x:v>
      </x:c>
      <x:c r="M146" s="129" t="str">
        <x:v>Gasoline</x:v>
      </x:c>
      <x:c r="N146" s="129" t="str">
        <x:v>7-speed S tronic DCT</x:v>
      </x:c>
      <x:c r="O146" s="129" t="str">
        <x:v>Good Deal</x:v>
      </x:c>
      <x:c r="P146" s="129" t="str">
        <x:v>B9</x:v>
      </x:c>
      <x:c r="Q146" s="144" t="str">
        <x:v>quattro</x:v>
      </x:c>
      <x:c r="R146" s="129" t="str">
        <x:v>A5 Sportback</x:v>
      </x:c>
      <x:c r="S146" s="129" t="str">
        <x:v>Compact Luxury</x:v>
      </x:c>
      <x:c r="T146" s="147" t="n">
        <x:f>2026-G146</x:f>
        <x:v>6</x:v>
      </x:c>
      <x:c r="U146" s="150" t="n">
        <x:f>IF(T146&gt;0,I146/T146,"")</x:f>
        <x:v>19221.166666666668</x:v>
      </x:c>
      <x:c r="V146" s="129" t="str">
        <x:v>Regular Gasoline</x:v>
      </x:c>
      <x:c r="W146" s="129" t="str">
        <x:v>No</x:v>
      </x:c>
      <x:c r="X146" s="129" t="str">
        <x:v>Normal</x:v>
      </x:c>
      <x:c r="Y146" s="129" t="str">
        <x:f>IF(R146="AMG C43","No","Yes")</x:f>
        <x:v>Yes</x:v>
      </x:c>
      <x:c r="Z146" s="144" t="str">
        <x:f>IF(Y146="No","Excluded from final analysis: AMG performance model outside the predefined C300 candidate category.","")</x:f>
      </x:c>
    </x:row>
    <x:row r="147">
      <x:c r="A147" s="129" t="str">
        <x:v>BMW3_001</x:v>
      </x:c>
      <x:c r="B147" s="132" t="n">
        <x:v>46233</x:v>
      </x:c>
      <x:c r="C147" s="129" t="str">
        <x:v>North York</x:v>
      </x:c>
      <x:c r="D147" s="129" t="str">
        <x:v>BMW</x:v>
      </x:c>
      <x:c r="E147" s="129" t="str">
        <x:v>3 Series</x:v>
      </x:c>
      <x:c r="F147" s="129" t="str">
        <x:v>330i xDrive</x:v>
      </x:c>
      <x:c r="G147" s="135" t="n">
        <x:v>2024</x:v>
      </x:c>
      <x:c r="H147" s="138" t="n">
        <x:v>37980</x:v>
      </x:c>
      <x:c r="I147" s="141" t="n">
        <x:v>44866</x:v>
      </x:c>
      <x:c r="J147" s="129" t="str">
        <x:v>Sedan</x:v>
      </x:c>
      <x:c r="K147" s="129" t="str">
        <x:v>AWD</x:v>
      </x:c>
      <x:c r="L147" s="129" t="str">
        <x:v>2.0L Turbo I4</x:v>
      </x:c>
      <x:c r="M147" s="129" t="str">
        <x:v>Gasoline</x:v>
      </x:c>
      <x:c r="N147" s="129" t="str">
        <x:v>8-speed Automatic</x:v>
      </x:c>
      <x:c r="O147" s="129" t="str">
        <x:v>Great Deal</x:v>
      </x:c>
      <x:c r="P147" s="129" t="str">
        <x:v>G20 LCI</x:v>
      </x:c>
      <x:c r="Q147" s="144" t="str"/>
      <x:c r="R147" s="129" t="str">
        <x:v>3 Series</x:v>
      </x:c>
      <x:c r="S147" s="129" t="str">
        <x:v>Compact Luxury</x:v>
      </x:c>
      <x:c r="T147" s="147" t="n">
        <x:f>2026-G147</x:f>
        <x:v>2</x:v>
      </x:c>
      <x:c r="U147" s="150" t="n">
        <x:f>IF(T147&gt;0,I147/T147,"")</x:f>
        <x:v>22433</x:v>
      </x:c>
      <x:c r="V147" s="129" t="str">
        <x:v>Regular Gasoline</x:v>
      </x:c>
      <x:c r="W147" s="129" t="str">
        <x:v>No</x:v>
      </x:c>
      <x:c r="X147" s="129" t="str">
        <x:v>Normal</x:v>
      </x:c>
      <x:c r="Y147" s="129" t="str">
        <x:f>IF(R147="AMG C43","No","Yes")</x:f>
        <x:v>Yes</x:v>
      </x:c>
      <x:c r="Z147" s="144" t="str">
        <x:f>IF(Y147="No","Excluded from final analysis: AMG performance model outside the predefined C300 candidate category.","")</x:f>
      </x:c>
    </x:row>
    <x:row r="148">
      <x:c r="A148" s="129" t="str">
        <x:v>BMW3_002</x:v>
      </x:c>
      <x:c r="B148" s="132" t="n">
        <x:v>46233</x:v>
      </x:c>
      <x:c r="C148" s="129" t="str">
        <x:v>Toronto</x:v>
      </x:c>
      <x:c r="D148" s="129" t="str">
        <x:v>BMW</x:v>
      </x:c>
      <x:c r="E148" s="129" t="str">
        <x:v>3 Series</x:v>
      </x:c>
      <x:c r="F148" s="129" t="str">
        <x:v>330i xDrive</x:v>
      </x:c>
      <x:c r="G148" s="135" t="n">
        <x:v>2025</x:v>
      </x:c>
      <x:c r="H148" s="138" t="n">
        <x:v>54988</x:v>
      </x:c>
      <x:c r="I148" s="141" t="n">
        <x:v>14000</x:v>
      </x:c>
      <x:c r="J148" s="129" t="str">
        <x:v>Sedan</x:v>
      </x:c>
      <x:c r="K148" s="129" t="str">
        <x:v>AWD</x:v>
      </x:c>
      <x:c r="L148" s="129" t="str">
        <x:v>2.0L Turbo I4</x:v>
      </x:c>
      <x:c r="M148" s="129" t="str">
        <x:v>Gasoline</x:v>
      </x:c>
      <x:c r="N148" s="129" t="str">
        <x:v>8-speed Automatic</x:v>
      </x:c>
      <x:c r="O148" s="129" t="str">
        <x:v>Great Deal</x:v>
      </x:c>
      <x:c r="P148" s="129" t="str">
        <x:v>G20 LCI</x:v>
      </x:c>
      <x:c r="Q148" s="144" t="str">
        <x:v>low mileage</x:v>
      </x:c>
      <x:c r="R148" s="129" t="str">
        <x:v>3 Series</x:v>
      </x:c>
      <x:c r="S148" s="129" t="str">
        <x:v>Compact Luxury</x:v>
      </x:c>
      <x:c r="T148" s="147" t="n">
        <x:f>2026-G148</x:f>
        <x:v>1</x:v>
      </x:c>
      <x:c r="U148" s="150" t="n">
        <x:f>IF(T148&gt;0,I148/T148,"")</x:f>
        <x:v>14000</x:v>
      </x:c>
      <x:c r="V148" s="129" t="str">
        <x:v>Regular Gasoline</x:v>
      </x:c>
      <x:c r="W148" s="129" t="str">
        <x:v>No</x:v>
      </x:c>
      <x:c r="X148" s="129" t="str">
        <x:v>Normal</x:v>
      </x:c>
      <x:c r="Y148" s="129" t="str">
        <x:f>IF(R148="AMG C43","No","Yes")</x:f>
        <x:v>Yes</x:v>
      </x:c>
      <x:c r="Z148" s="144" t="str">
        <x:f>IF(Y148="No","Excluded from final analysis: AMG performance model outside the predefined C300 candidate category.","")</x:f>
      </x:c>
    </x:row>
    <x:row r="149">
      <x:c r="A149" s="129" t="str">
        <x:v>BMW3_003</x:v>
      </x:c>
      <x:c r="B149" s="132" t="n">
        <x:v>46233</x:v>
      </x:c>
      <x:c r="C149" s="129" t="str">
        <x:v>Concord</x:v>
      </x:c>
      <x:c r="D149" s="129" t="str">
        <x:v>BMW</x:v>
      </x:c>
      <x:c r="E149" s="129" t="str">
        <x:v>3 Series</x:v>
      </x:c>
      <x:c r="F149" s="129" t="str">
        <x:v>330i xDrive</x:v>
      </x:c>
      <x:c r="G149" s="135" t="n">
        <x:v>2023</x:v>
      </x:c>
      <x:c r="H149" s="138" t="n">
        <x:v>31950</x:v>
      </x:c>
      <x:c r="I149" s="141" t="n">
        <x:v>78578</x:v>
      </x:c>
      <x:c r="J149" s="129" t="str">
        <x:v>Sedan</x:v>
      </x:c>
      <x:c r="K149" s="129" t="str">
        <x:v>AWD</x:v>
      </x:c>
      <x:c r="L149" s="129" t="str">
        <x:v>2.0L Turbo I4</x:v>
      </x:c>
      <x:c r="M149" s="129" t="str">
        <x:v>Gasoline</x:v>
      </x:c>
      <x:c r="N149" s="129" t="str">
        <x:v>8-speed Automatic</x:v>
      </x:c>
      <x:c r="O149" s="129" t="str">
        <x:v>Great Deal</x:v>
      </x:c>
      <x:c r="P149" s="129" t="str">
        <x:v>G20 LCI</x:v>
      </x:c>
      <x:c r="Q149" s="144" t="str"/>
      <x:c r="R149" s="129" t="str">
        <x:v>3 Series</x:v>
      </x:c>
      <x:c r="S149" s="129" t="str">
        <x:v>Compact Luxury</x:v>
      </x:c>
      <x:c r="T149" s="147" t="n">
        <x:f>2026-G149</x:f>
        <x:v>3</x:v>
      </x:c>
      <x:c r="U149" s="150" t="n">
        <x:f>IF(T149&gt;0,I149/T149,"")</x:f>
        <x:v>26192.666666666668</x:v>
      </x:c>
      <x:c r="V149" s="129" t="str">
        <x:v>Regular Gasoline</x:v>
      </x:c>
      <x:c r="W149" s="129" t="str">
        <x:v>No</x:v>
      </x:c>
      <x:c r="X149" s="129" t="str">
        <x:v>Normal</x:v>
      </x:c>
      <x:c r="Y149" s="129" t="str">
        <x:f>IF(R149="AMG C43","No","Yes")</x:f>
        <x:v>Yes</x:v>
      </x:c>
      <x:c r="Z149" s="144" t="str">
        <x:f>IF(Y149="No","Excluded from final analysis: AMG performance model outside the predefined C300 candidate category.","")</x:f>
      </x:c>
    </x:row>
    <x:row r="150">
      <x:c r="A150" s="129" t="str">
        <x:v>BMW3_004</x:v>
      </x:c>
      <x:c r="B150" s="132" t="n">
        <x:v>46233</x:v>
      </x:c>
      <x:c r="C150" s="129" t="str">
        <x:v>North York</x:v>
      </x:c>
      <x:c r="D150" s="129" t="str">
        <x:v>BMW</x:v>
      </x:c>
      <x:c r="E150" s="129" t="str">
        <x:v>3 Series</x:v>
      </x:c>
      <x:c r="F150" s="129" t="str">
        <x:v>330i xDrive</x:v>
      </x:c>
      <x:c r="G150" s="135" t="n">
        <x:v>2023</x:v>
      </x:c>
      <x:c r="H150" s="138" t="n">
        <x:v>39689</x:v>
      </x:c>
      <x:c r="I150" s="141" t="n">
        <x:v>11385</x:v>
      </x:c>
      <x:c r="J150" s="129" t="str">
        <x:v>Sedan</x:v>
      </x:c>
      <x:c r="K150" s="129" t="str">
        <x:v>AWD</x:v>
      </x:c>
      <x:c r="L150" s="129" t="str">
        <x:v>2.0L Turbo I4</x:v>
      </x:c>
      <x:c r="M150" s="129" t="str">
        <x:v>Gasoline</x:v>
      </x:c>
      <x:c r="N150" s="129" t="str">
        <x:v>8-speed Automatic</x:v>
      </x:c>
      <x:c r="O150" s="129" t="str">
        <x:v>Great Deal</x:v>
      </x:c>
      <x:c r="P150" s="129" t="str">
        <x:v>G20 LCI</x:v>
      </x:c>
      <x:c r="Q150" s="144" t="str">
        <x:v>Certified Pre-Owned; $4,303 price reduction; low mileage</x:v>
      </x:c>
      <x:c r="R150" s="129" t="str">
        <x:v>3 Series</x:v>
      </x:c>
      <x:c r="S150" s="129" t="str">
        <x:v>Compact Luxury</x:v>
      </x:c>
      <x:c r="T150" s="147" t="n">
        <x:f>2026-G150</x:f>
        <x:v>3</x:v>
      </x:c>
      <x:c r="U150" s="150" t="n">
        <x:f>IF(T150&gt;0,I150/T150,"")</x:f>
        <x:v>3795</x:v>
      </x:c>
      <x:c r="V150" s="129" t="str">
        <x:v>Regular Gasoline</x:v>
      </x:c>
      <x:c r="W150" s="129" t="str">
        <x:v>No</x:v>
      </x:c>
      <x:c r="X150" s="129" t="str">
        <x:v>Normal</x:v>
      </x:c>
      <x:c r="Y150" s="129" t="str">
        <x:f>IF(R150="AMG C43","No","Yes")</x:f>
        <x:v>Yes</x:v>
      </x:c>
      <x:c r="Z150" s="144" t="str">
        <x:f>IF(Y150="No","Excluded from final analysis: AMG performance model outside the predefined C300 candidate category.","")</x:f>
      </x:c>
    </x:row>
    <x:row r="151">
      <x:c r="A151" s="129" t="str">
        <x:v>BMW3_005</x:v>
      </x:c>
      <x:c r="B151" s="132" t="n">
        <x:v>46233</x:v>
      </x:c>
      <x:c r="C151" s="129" t="str">
        <x:v>North York</x:v>
      </x:c>
      <x:c r="D151" s="129" t="str">
        <x:v>BMW</x:v>
      </x:c>
      <x:c r="E151" s="129" t="str">
        <x:v>3 Series</x:v>
      </x:c>
      <x:c r="F151" s="129" t="str">
        <x:v>330i xDrive</x:v>
      </x:c>
      <x:c r="G151" s="135" t="n">
        <x:v>2021</x:v>
      </x:c>
      <x:c r="H151" s="138" t="n">
        <x:v>19995</x:v>
      </x:c>
      <x:c r="I151" s="141" t="n">
        <x:v>146574</x:v>
      </x:c>
      <x:c r="J151" s="129" t="str">
        <x:v>Sedan</x:v>
      </x:c>
      <x:c r="K151" s="129" t="str">
        <x:v>AWD</x:v>
      </x:c>
      <x:c r="L151" s="129" t="str">
        <x:v>2.0L Turbo I4</x:v>
      </x:c>
      <x:c r="M151" s="129" t="str">
        <x:v>Gasoline</x:v>
      </x:c>
      <x:c r="N151" s="129" t="str">
        <x:v>8-speed Automatic</x:v>
      </x:c>
      <x:c r="O151" s="129" t="str">
        <x:v>Great Deal</x:v>
      </x:c>
      <x:c r="P151" s="129" t="str">
        <x:v>G20</x:v>
      </x:c>
      <x:c r="Q151" s="144" t="str">
        <x:v>high mileage</x:v>
      </x:c>
      <x:c r="R151" s="129" t="str">
        <x:v>3 Series</x:v>
      </x:c>
      <x:c r="S151" s="129" t="str">
        <x:v>Compact Luxury</x:v>
      </x:c>
      <x:c r="T151" s="147" t="n">
        <x:f>2026-G151</x:f>
        <x:v>5</x:v>
      </x:c>
      <x:c r="U151" s="150" t="n">
        <x:f>IF(T151&gt;0,I151/T151,"")</x:f>
        <x:v>29314.8</x:v>
      </x:c>
      <x:c r="V151" s="129" t="str">
        <x:v>Regular Gasoline</x:v>
      </x:c>
      <x:c r="W151" s="129" t="str">
        <x:v>No</x:v>
      </x:c>
      <x:c r="X151" s="129" t="str">
        <x:v>Very High</x:v>
      </x:c>
      <x:c r="Y151" s="129" t="str">
        <x:f>IF(R151="AMG C43","No","Yes")</x:f>
        <x:v>Yes</x:v>
      </x:c>
      <x:c r="Z151" s="144" t="str">
        <x:f>IF(Y151="No","Excluded from final analysis: AMG performance model outside the predefined C300 candidate category.","")</x:f>
      </x:c>
    </x:row>
    <x:row r="152">
      <x:c r="A152" s="129" t="str">
        <x:v>BMW3_006</x:v>
      </x:c>
      <x:c r="B152" s="132" t="n">
        <x:v>46233</x:v>
      </x:c>
      <x:c r="C152" s="129" t="str">
        <x:v>Oakville</x:v>
      </x:c>
      <x:c r="D152" s="129" t="str">
        <x:v>BMW</x:v>
      </x:c>
      <x:c r="E152" s="129" t="str">
        <x:v>3 Series</x:v>
      </x:c>
      <x:c r="F152" s="129" t="str">
        <x:v>330i xDrive</x:v>
      </x:c>
      <x:c r="G152" s="135" t="n">
        <x:v>2022</x:v>
      </x:c>
      <x:c r="H152" s="138" t="n">
        <x:v>25990</x:v>
      </x:c>
      <x:c r="I152" s="141" t="n">
        <x:v>91880</x:v>
      </x:c>
      <x:c r="J152" s="129" t="str">
        <x:v>Sedan</x:v>
      </x:c>
      <x:c r="K152" s="129" t="str">
        <x:v>AWD</x:v>
      </x:c>
      <x:c r="L152" s="129" t="str">
        <x:v>2.0L Turbo I4</x:v>
      </x:c>
      <x:c r="M152" s="129" t="str">
        <x:v>Gasoline</x:v>
      </x:c>
      <x:c r="N152" s="129" t="str">
        <x:v>8-speed Automatic</x:v>
      </x:c>
      <x:c r="O152" s="129" t="str">
        <x:v>Great Deal</x:v>
      </x:c>
      <x:c r="P152" s="129" t="str">
        <x:v>G20</x:v>
      </x:c>
      <x:c r="Q152" s="144" t="str"/>
      <x:c r="R152" s="129" t="str">
        <x:v>3 Series</x:v>
      </x:c>
      <x:c r="S152" s="129" t="str">
        <x:v>Compact Luxury</x:v>
      </x:c>
      <x:c r="T152" s="147" t="n">
        <x:f>2026-G152</x:f>
        <x:v>4</x:v>
      </x:c>
      <x:c r="U152" s="150" t="n">
        <x:f>IF(T152&gt;0,I152/T152,"")</x:f>
        <x:v>22970</x:v>
      </x:c>
      <x:c r="V152" s="129" t="str">
        <x:v>Regular Gasoline</x:v>
      </x:c>
      <x:c r="W152" s="129" t="str">
        <x:v>No</x:v>
      </x:c>
      <x:c r="X152" s="129" t="str">
        <x:v>Normal</x:v>
      </x:c>
      <x:c r="Y152" s="129" t="str">
        <x:f>IF(R152="AMG C43","No","Yes")</x:f>
        <x:v>Yes</x:v>
      </x:c>
      <x:c r="Z152" s="144" t="str">
        <x:f>IF(Y152="No","Excluded from final analysis: AMG performance model outside the predefined C300 candidate category.","")</x:f>
      </x:c>
    </x:row>
    <x:row r="153">
      <x:c r="A153" s="129" t="str">
        <x:v>BMW3_007</x:v>
      </x:c>
      <x:c r="B153" s="132" t="n">
        <x:v>46233</x:v>
      </x:c>
      <x:c r="C153" s="129" t="str">
        <x:v>North York</x:v>
      </x:c>
      <x:c r="D153" s="129" t="str">
        <x:v>BMW</x:v>
      </x:c>
      <x:c r="E153" s="129" t="str">
        <x:v>3 Series</x:v>
      </x:c>
      <x:c r="F153" s="129" t="str">
        <x:v>330i xDrive</x:v>
      </x:c>
      <x:c r="G153" s="135" t="n">
        <x:v>2022</x:v>
      </x:c>
      <x:c r="H153" s="138" t="n">
        <x:v>32888</x:v>
      </x:c>
      <x:c r="I153" s="141" t="n">
        <x:v>58404</x:v>
      </x:c>
      <x:c r="J153" s="129" t="str">
        <x:v>Sedan</x:v>
      </x:c>
      <x:c r="K153" s="129" t="str">
        <x:v>AWD</x:v>
      </x:c>
      <x:c r="L153" s="129" t="str">
        <x:v>2.0L Turbo I4</x:v>
      </x:c>
      <x:c r="M153" s="129" t="str">
        <x:v>Gasoline</x:v>
      </x:c>
      <x:c r="N153" s="129" t="str">
        <x:v>8-speed Automatic</x:v>
      </x:c>
      <x:c r="O153" s="129" t="str">
        <x:v>Good Deal</x:v>
      </x:c>
      <x:c r="P153" s="129" t="str">
        <x:v>G20</x:v>
      </x:c>
      <x:c r="Q153" s="144" t="str"/>
      <x:c r="R153" s="129" t="str">
        <x:v>3 Series</x:v>
      </x:c>
      <x:c r="S153" s="129" t="str">
        <x:v>Compact Luxury</x:v>
      </x:c>
      <x:c r="T153" s="147" t="n">
        <x:f>2026-G153</x:f>
        <x:v>4</x:v>
      </x:c>
      <x:c r="U153" s="150" t="n">
        <x:f>IF(T153&gt;0,I153/T153,"")</x:f>
        <x:v>14601</x:v>
      </x:c>
      <x:c r="V153" s="129" t="str">
        <x:v>Regular Gasoline</x:v>
      </x:c>
      <x:c r="W153" s="129" t="str">
        <x:v>No</x:v>
      </x:c>
      <x:c r="X153" s="129" t="str">
        <x:v>Normal</x:v>
      </x:c>
      <x:c r="Y153" s="129" t="str">
        <x:f>IF(R153="AMG C43","No","Yes")</x:f>
        <x:v>Yes</x:v>
      </x:c>
      <x:c r="Z153" s="144" t="str">
        <x:f>IF(Y153="No","Excluded from final analysis: AMG performance model outside the predefined C300 candidate category.","")</x:f>
      </x:c>
    </x:row>
    <x:row r="154">
      <x:c r="A154" s="129" t="str">
        <x:v>BMW3_008</x:v>
      </x:c>
      <x:c r="B154" s="132" t="n">
        <x:v>46233</x:v>
      </x:c>
      <x:c r="C154" s="129" t="str">
        <x:v>Mississauga</x:v>
      </x:c>
      <x:c r="D154" s="129" t="str">
        <x:v>BMW</x:v>
      </x:c>
      <x:c r="E154" s="129" t="str">
        <x:v>3 Series</x:v>
      </x:c>
      <x:c r="F154" s="129" t="str">
        <x:v>330i xDrive</x:v>
      </x:c>
      <x:c r="G154" s="135" t="n">
        <x:v>2020</x:v>
      </x:c>
      <x:c r="H154" s="138" t="n">
        <x:v>21999</x:v>
      </x:c>
      <x:c r="I154" s="141" t="n">
        <x:v>134000</x:v>
      </x:c>
      <x:c r="J154" s="129" t="str">
        <x:v>Sedan</x:v>
      </x:c>
      <x:c r="K154" s="129" t="str">
        <x:v>AWD</x:v>
      </x:c>
      <x:c r="L154" s="129" t="str">
        <x:v>2.0L Turbo I4</x:v>
      </x:c>
      <x:c r="M154" s="129" t="str">
        <x:v>Gasoline</x:v>
      </x:c>
      <x:c r="N154" s="129" t="str">
        <x:v>8-speed Automatic</x:v>
      </x:c>
      <x:c r="O154" s="129" t="str">
        <x:v>Good Deal</x:v>
      </x:c>
      <x:c r="P154" s="129" t="str">
        <x:v>G20</x:v>
      </x:c>
      <x:c r="Q154" s="144" t="str">
        <x:v>high mileage</x:v>
      </x:c>
      <x:c r="R154" s="129" t="str">
        <x:v>3 Series</x:v>
      </x:c>
      <x:c r="S154" s="129" t="str">
        <x:v>Compact Luxury</x:v>
      </x:c>
      <x:c r="T154" s="147" t="n">
        <x:f>2026-G154</x:f>
        <x:v>6</x:v>
      </x:c>
      <x:c r="U154" s="150" t="n">
        <x:f>IF(T154&gt;0,I154/T154,"")</x:f>
        <x:v>22333.333333333332</x:v>
      </x:c>
      <x:c r="V154" s="129" t="str">
        <x:v>Regular Gasoline</x:v>
      </x:c>
      <x:c r="W154" s="129" t="str">
        <x:v>No</x:v>
      </x:c>
      <x:c r="X154" s="129" t="str">
        <x:v>Very High</x:v>
      </x:c>
      <x:c r="Y154" s="129" t="str">
        <x:f>IF(R154="AMG C43","No","Yes")</x:f>
        <x:v>Yes</x:v>
      </x:c>
      <x:c r="Z154" s="144" t="str">
        <x:f>IF(Y154="No","Excluded from final analysis: AMG performance model outside the predefined C300 candidate category.","")</x:f>
      </x:c>
    </x:row>
    <x:row r="155">
      <x:c r="A155" s="129" t="str">
        <x:v>BMW3_009</x:v>
      </x:c>
      <x:c r="B155" s="132" t="n">
        <x:v>46233</x:v>
      </x:c>
      <x:c r="C155" s="129" t="str">
        <x:v>North York</x:v>
      </x:c>
      <x:c r="D155" s="129" t="str">
        <x:v>BMW</x:v>
      </x:c>
      <x:c r="E155" s="129" t="str">
        <x:v>3 Series</x:v>
      </x:c>
      <x:c r="F155" s="129" t="str">
        <x:v>330i xDrive</x:v>
      </x:c>
      <x:c r="G155" s="135" t="n">
        <x:v>2020</x:v>
      </x:c>
      <x:c r="H155" s="138" t="n">
        <x:v>25495</x:v>
      </x:c>
      <x:c r="I155" s="141" t="n">
        <x:v>117632</x:v>
      </x:c>
      <x:c r="J155" s="129" t="str">
        <x:v>Sedan</x:v>
      </x:c>
      <x:c r="K155" s="129" t="str">
        <x:v>AWD</x:v>
      </x:c>
      <x:c r="L155" s="129" t="str">
        <x:v>2.0L Turbo I4</x:v>
      </x:c>
      <x:c r="M155" s="129" t="str">
        <x:v>Gasoline</x:v>
      </x:c>
      <x:c r="N155" s="129" t="str">
        <x:v>8-speed Automatic</x:v>
      </x:c>
      <x:c r="O155" s="129" t="str">
        <x:v>Good Deal</x:v>
      </x:c>
      <x:c r="P155" s="129" t="str">
        <x:v>G20</x:v>
      </x:c>
      <x:c r="Q155" s="144" t="str"/>
      <x:c r="R155" s="129" t="str">
        <x:v>3 Series</x:v>
      </x:c>
      <x:c r="S155" s="129" t="str">
        <x:v>Compact Luxury</x:v>
      </x:c>
      <x:c r="T155" s="147" t="n">
        <x:f>2026-G155</x:f>
        <x:v>6</x:v>
      </x:c>
      <x:c r="U155" s="150" t="n">
        <x:f>IF(T155&gt;0,I155/T155,"")</x:f>
        <x:v>19605.333333333332</x:v>
      </x:c>
      <x:c r="V155" s="129" t="str">
        <x:v>Regular Gasoline</x:v>
      </x:c>
      <x:c r="W155" s="129" t="str">
        <x:v>No</x:v>
      </x:c>
      <x:c r="X155" s="129" t="str">
        <x:v>Normal</x:v>
      </x:c>
      <x:c r="Y155" s="129" t="str">
        <x:f>IF(R155="AMG C43","No","Yes")</x:f>
        <x:v>Yes</x:v>
      </x:c>
      <x:c r="Z155" s="144" t="str">
        <x:f>IF(Y155="No","Excluded from final analysis: AMG performance model outside the predefined C300 candidate category.","")</x:f>
      </x:c>
    </x:row>
    <x:row r="156">
      <x:c r="A156" s="129" t="str">
        <x:v>BMW3_010</x:v>
      </x:c>
      <x:c r="B156" s="132" t="n">
        <x:v>46233</x:v>
      </x:c>
      <x:c r="C156" s="129" t="str">
        <x:v>North York</x:v>
      </x:c>
      <x:c r="D156" s="129" t="str">
        <x:v>BMW</x:v>
      </x:c>
      <x:c r="E156" s="129" t="str">
        <x:v>3 Series</x:v>
      </x:c>
      <x:c r="F156" s="129" t="str">
        <x:v>330i xDrive</x:v>
      </x:c>
      <x:c r="G156" s="135" t="n">
        <x:v>2025</x:v>
      </x:c>
      <x:c r="H156" s="138" t="n">
        <x:v>48770</x:v>
      </x:c>
      <x:c r="I156" s="141" t="n">
        <x:v>29000</x:v>
      </x:c>
      <x:c r="J156" s="129" t="str">
        <x:v>Sedan</x:v>
      </x:c>
      <x:c r="K156" s="129" t="str">
        <x:v>AWD</x:v>
      </x:c>
      <x:c r="L156" s="129" t="str">
        <x:v>2.0L Turbo I4</x:v>
      </x:c>
      <x:c r="M156" s="129" t="str">
        <x:v>Gasoline</x:v>
      </x:c>
      <x:c r="N156" s="129" t="str">
        <x:v>8-speed Automatic</x:v>
      </x:c>
      <x:c r="O156" s="129" t="str">
        <x:v>Good Deal</x:v>
      </x:c>
      <x:c r="P156" s="129" t="str">
        <x:v>G20 LCI</x:v>
      </x:c>
      <x:c r="Q156" s="144" t="str"/>
      <x:c r="R156" s="129" t="str">
        <x:v>3 Series</x:v>
      </x:c>
      <x:c r="S156" s="129" t="str">
        <x:v>Compact Luxury</x:v>
      </x:c>
      <x:c r="T156" s="147" t="n">
        <x:f>2026-G156</x:f>
        <x:v>1</x:v>
      </x:c>
      <x:c r="U156" s="150" t="n">
        <x:f>IF(T156&gt;0,I156/T156,"")</x:f>
        <x:v>29000</x:v>
      </x:c>
      <x:c r="V156" s="129" t="str">
        <x:v>Regular Gasoline</x:v>
      </x:c>
      <x:c r="W156" s="129" t="str">
        <x:v>No</x:v>
      </x:c>
      <x:c r="X156" s="129" t="str">
        <x:v>Normal</x:v>
      </x:c>
      <x:c r="Y156" s="129" t="str">
        <x:f>IF(R156="AMG C43","No","Yes")</x:f>
        <x:v>Yes</x:v>
      </x:c>
      <x:c r="Z156" s="144" t="str">
        <x:f>IF(Y156="No","Excluded from final analysis: AMG performance model outside the predefined C300 candidate category.","")</x:f>
      </x:c>
    </x:row>
    <x:row r="157">
      <x:c r="A157" s="129" t="str">
        <x:v>BMW3_011</x:v>
      </x:c>
      <x:c r="B157" s="132" t="n">
        <x:v>46233</x:v>
      </x:c>
      <x:c r="C157" s="129" t="str">
        <x:v>Mississauga</x:v>
      </x:c>
      <x:c r="D157" s="129" t="str">
        <x:v>BMW</x:v>
      </x:c>
      <x:c r="E157" s="129" t="str">
        <x:v>3 Series</x:v>
      </x:c>
      <x:c r="F157" s="129" t="str">
        <x:v>330i xDrive</x:v>
      </x:c>
      <x:c r="G157" s="135" t="n">
        <x:v>2023</x:v>
      </x:c>
      <x:c r="H157" s="138" t="n">
        <x:v>38999</x:v>
      </x:c>
      <x:c r="I157" s="141" t="n">
        <x:v>33960</x:v>
      </x:c>
      <x:c r="J157" s="129" t="str">
        <x:v>Sedan</x:v>
      </x:c>
      <x:c r="K157" s="129" t="str">
        <x:v>AWD</x:v>
      </x:c>
      <x:c r="L157" s="129" t="str">
        <x:v>2.0L Turbo I4</x:v>
      </x:c>
      <x:c r="M157" s="129" t="str">
        <x:v>Gasoline</x:v>
      </x:c>
      <x:c r="N157" s="129" t="str">
        <x:v>8-speed Automatic</x:v>
      </x:c>
      <x:c r="O157" s="129" t="str">
        <x:v>Good Deal</x:v>
      </x:c>
      <x:c r="P157" s="129" t="str">
        <x:v>G20 LCI</x:v>
      </x:c>
      <x:c r="Q157" s="144" t="str">
        <x:v>$801 price reduction</x:v>
      </x:c>
      <x:c r="R157" s="129" t="str">
        <x:v>3 Series</x:v>
      </x:c>
      <x:c r="S157" s="129" t="str">
        <x:v>Compact Luxury</x:v>
      </x:c>
      <x:c r="T157" s="147" t="n">
        <x:f>2026-G157</x:f>
        <x:v>3</x:v>
      </x:c>
      <x:c r="U157" s="150" t="n">
        <x:f>IF(T157&gt;0,I157/T157,"")</x:f>
        <x:v>11320</x:v>
      </x:c>
      <x:c r="V157" s="129" t="str">
        <x:v>Regular Gasoline</x:v>
      </x:c>
      <x:c r="W157" s="129" t="str">
        <x:v>No</x:v>
      </x:c>
      <x:c r="X157" s="129" t="str">
        <x:v>Normal</x:v>
      </x:c>
      <x:c r="Y157" s="129" t="str">
        <x:f>IF(R157="AMG C43","No","Yes")</x:f>
        <x:v>Yes</x:v>
      </x:c>
      <x:c r="Z157" s="144" t="str">
        <x:f>IF(Y157="No","Excluded from final analysis: AMG performance model outside the predefined C300 candidate category.","")</x:f>
      </x:c>
    </x:row>
    <x:row r="158">
      <x:c r="A158" s="129" t="str">
        <x:v>BMW3_012</x:v>
      </x:c>
      <x:c r="B158" s="132" t="n">
        <x:v>46233</x:v>
      </x:c>
      <x:c r="C158" s="129" t="str">
        <x:v>Sarnia</x:v>
      </x:c>
      <x:c r="D158" s="129" t="str">
        <x:v>BMW</x:v>
      </x:c>
      <x:c r="E158" s="129" t="str">
        <x:v>3 Series</x:v>
      </x:c>
      <x:c r="F158" s="129" t="str">
        <x:v>330i xDrive</x:v>
      </x:c>
      <x:c r="G158" s="135" t="n">
        <x:v>2025</x:v>
      </x:c>
      <x:c r="H158" s="138" t="n">
        <x:v>64495</x:v>
      </x:c>
      <x:c r="I158" s="141" t="n">
        <x:v>370</x:v>
      </x:c>
      <x:c r="J158" s="129" t="str">
        <x:v>Sedan</x:v>
      </x:c>
      <x:c r="K158" s="129" t="str">
        <x:v>AWD</x:v>
      </x:c>
      <x:c r="L158" s="129" t="str">
        <x:v>2.0L Turbo I4</x:v>
      </x:c>
      <x:c r="M158" s="129" t="str">
        <x:v>Gasoline</x:v>
      </x:c>
      <x:c r="N158" s="129" t="str">
        <x:v>8-speed Automatic</x:v>
      </x:c>
      <x:c r="O158" s="129" t="str">
        <x:v>Good Deal</x:v>
      </x:c>
      <x:c r="P158" s="129" t="str">
        <x:v>G20 LCI</x:v>
      </x:c>
      <x:c r="Q158" s="144" t="str">
        <x:v>almost new; unusually low mileage</x:v>
      </x:c>
      <x:c r="R158" s="129" t="str">
        <x:v>3 Series</x:v>
      </x:c>
      <x:c r="S158" s="129" t="str">
        <x:v>Compact Luxury</x:v>
      </x:c>
      <x:c r="T158" s="147" t="n">
        <x:f>2026-G158</x:f>
        <x:v>1</x:v>
      </x:c>
      <x:c r="U158" s="150" t="n">
        <x:f>IF(T158&gt;0,I158/T158,"")</x:f>
        <x:v>370</x:v>
      </x:c>
      <x:c r="V158" s="129" t="str">
        <x:v>Regular Gasoline</x:v>
      </x:c>
      <x:c r="W158" s="129" t="str">
        <x:v>No</x:v>
      </x:c>
      <x:c r="X158" s="129" t="str">
        <x:v>Very Low</x:v>
      </x:c>
      <x:c r="Y158" s="129" t="str">
        <x:f>IF(R158="AMG C43","No","Yes")</x:f>
        <x:v>Yes</x:v>
      </x:c>
      <x:c r="Z158" s="144" t="str">
        <x:f>IF(Y158="No","Excluded from final analysis: AMG performance model outside the predefined C300 candidate category.","")</x:f>
      </x:c>
    </x:row>
    <x:row r="159">
      <x:c r="A159" s="129" t="str">
        <x:v>BMW3_013</x:v>
      </x:c>
      <x:c r="B159" s="132" t="n">
        <x:v>46233</x:v>
      </x:c>
      <x:c r="C159" s="129" t="str">
        <x:v>Oakville</x:v>
      </x:c>
      <x:c r="D159" s="129" t="str">
        <x:v>BMW</x:v>
      </x:c>
      <x:c r="E159" s="129" t="str">
        <x:v>3 Series</x:v>
      </x:c>
      <x:c r="F159" s="129" t="str">
        <x:v>330i xDrive</x:v>
      </x:c>
      <x:c r="G159" s="135" t="n">
        <x:v>2020</x:v>
      </x:c>
      <x:c r="H159" s="138" t="n">
        <x:v>25988</x:v>
      </x:c>
      <x:c r="I159" s="141" t="n">
        <x:v>83000</x:v>
      </x:c>
      <x:c r="J159" s="129" t="str">
        <x:v>Sedan</x:v>
      </x:c>
      <x:c r="K159" s="129" t="str">
        <x:v>AWD</x:v>
      </x:c>
      <x:c r="L159" s="129" t="str">
        <x:v>2.0L Turbo I4</x:v>
      </x:c>
      <x:c r="M159" s="129" t="str">
        <x:v>Gasoline</x:v>
      </x:c>
      <x:c r="N159" s="129" t="str">
        <x:v>8-speed Automatic</x:v>
      </x:c>
      <x:c r="O159" s="129" t="str">
        <x:v>Good Deal</x:v>
      </x:c>
      <x:c r="P159" s="129" t="str">
        <x:v>G20</x:v>
      </x:c>
      <x:c r="Q159" s="144" t="str"/>
      <x:c r="R159" s="129" t="str">
        <x:v>3 Series</x:v>
      </x:c>
      <x:c r="S159" s="129" t="str">
        <x:v>Compact Luxury</x:v>
      </x:c>
      <x:c r="T159" s="147" t="n">
        <x:f>2026-G159</x:f>
        <x:v>6</x:v>
      </x:c>
      <x:c r="U159" s="150" t="n">
        <x:f>IF(T159&gt;0,I159/T159,"")</x:f>
        <x:v>13833.333333333334</x:v>
      </x:c>
      <x:c r="V159" s="129" t="str">
        <x:v>Regular Gasoline</x:v>
      </x:c>
      <x:c r="W159" s="129" t="str">
        <x:v>No</x:v>
      </x:c>
      <x:c r="X159" s="129" t="str">
        <x:v>Normal</x:v>
      </x:c>
      <x:c r="Y159" s="129" t="str">
        <x:f>IF(R159="AMG C43","No","Yes")</x:f>
        <x:v>Yes</x:v>
      </x:c>
      <x:c r="Z159" s="144" t="str">
        <x:f>IF(Y159="No","Excluded from final analysis: AMG performance model outside the predefined C300 candidate category.","")</x:f>
      </x:c>
    </x:row>
    <x:row r="160">
      <x:c r="A160" s="129" t="str">
        <x:v>BMW3_014</x:v>
      </x:c>
      <x:c r="B160" s="132" t="n">
        <x:v>46233</x:v>
      </x:c>
      <x:c r="C160" s="129" t="str">
        <x:v>Mississauga</x:v>
      </x:c>
      <x:c r="D160" s="129" t="str">
        <x:v>BMW</x:v>
      </x:c>
      <x:c r="E160" s="129" t="str">
        <x:v>3 Series</x:v>
      </x:c>
      <x:c r="F160" s="129" t="str">
        <x:v>330i xDrive</x:v>
      </x:c>
      <x:c r="G160" s="135" t="n">
        <x:v>2023</x:v>
      </x:c>
      <x:c r="H160" s="138" t="n">
        <x:v>39995</x:v>
      </x:c>
      <x:c r="I160" s="141" t="n">
        <x:v>51107</x:v>
      </x:c>
      <x:c r="J160" s="129" t="str">
        <x:v>Sedan</x:v>
      </x:c>
      <x:c r="K160" s="129" t="str">
        <x:v>AWD</x:v>
      </x:c>
      <x:c r="L160" s="129" t="str">
        <x:v>2.0L Turbo I4</x:v>
      </x:c>
      <x:c r="M160" s="129" t="str">
        <x:v>Gasoline</x:v>
      </x:c>
      <x:c r="N160" s="129" t="str">
        <x:v>8-speed Automatic</x:v>
      </x:c>
      <x:c r="O160" s="129" t="str">
        <x:v>Good Deal</x:v>
      </x:c>
      <x:c r="P160" s="129" t="str">
        <x:v>G20 LCI</x:v>
      </x:c>
      <x:c r="Q160" s="144" t="str"/>
      <x:c r="R160" s="129" t="str">
        <x:v>3 Series</x:v>
      </x:c>
      <x:c r="S160" s="129" t="str">
        <x:v>Compact Luxury</x:v>
      </x:c>
      <x:c r="T160" s="147" t="n">
        <x:f>2026-G160</x:f>
        <x:v>3</x:v>
      </x:c>
      <x:c r="U160" s="150" t="n">
        <x:f>IF(T160&gt;0,I160/T160,"")</x:f>
        <x:v>17035.666666666668</x:v>
      </x:c>
      <x:c r="V160" s="129" t="str">
        <x:v>Regular Gasoline</x:v>
      </x:c>
      <x:c r="W160" s="129" t="str">
        <x:v>No</x:v>
      </x:c>
      <x:c r="X160" s="129" t="str">
        <x:v>Normal</x:v>
      </x:c>
      <x:c r="Y160" s="129" t="str">
        <x:f>IF(R160="AMG C43","No","Yes")</x:f>
        <x:v>Yes</x:v>
      </x:c>
      <x:c r="Z160" s="144" t="str">
        <x:f>IF(Y160="No","Excluded from final analysis: AMG performance model outside the predefined C300 candidate category.","")</x:f>
      </x:c>
    </x:row>
    <x:row r="161">
      <x:c r="A161" s="129" t="str">
        <x:v>BMW3_015</x:v>
      </x:c>
      <x:c r="B161" s="132" t="n">
        <x:v>46233</x:v>
      </x:c>
      <x:c r="C161" s="129" t="str">
        <x:v>Concord</x:v>
      </x:c>
      <x:c r="D161" s="129" t="str">
        <x:v>BMW</x:v>
      </x:c>
      <x:c r="E161" s="129" t="str">
        <x:v>3 Series</x:v>
      </x:c>
      <x:c r="F161" s="129" t="str">
        <x:v>330i xDrive</x:v>
      </x:c>
      <x:c r="G161" s="135" t="n">
        <x:v>2021</x:v>
      </x:c>
      <x:c r="H161" s="138" t="n">
        <x:v>24450</x:v>
      </x:c>
      <x:c r="I161" s="141" t="n">
        <x:v>112382</x:v>
      </x:c>
      <x:c r="J161" s="129" t="str">
        <x:v>Sedan</x:v>
      </x:c>
      <x:c r="K161" s="129" t="str">
        <x:v>AWD</x:v>
      </x:c>
      <x:c r="L161" s="129" t="str">
        <x:v>2.0L Turbo I4</x:v>
      </x:c>
      <x:c r="M161" s="129" t="str">
        <x:v>Gasoline</x:v>
      </x:c>
      <x:c r="N161" s="129" t="str">
        <x:v>8-speed Automatic</x:v>
      </x:c>
      <x:c r="O161" s="129" t="str">
        <x:v>Good Deal</x:v>
      </x:c>
      <x:c r="P161" s="129" t="str">
        <x:v>G20</x:v>
      </x:c>
      <x:c r="Q161" s="144" t="str"/>
      <x:c r="R161" s="129" t="str">
        <x:v>3 Series</x:v>
      </x:c>
      <x:c r="S161" s="129" t="str">
        <x:v>Compact Luxury</x:v>
      </x:c>
      <x:c r="T161" s="147" t="n">
        <x:f>2026-G161</x:f>
        <x:v>5</x:v>
      </x:c>
      <x:c r="U161" s="150" t="n">
        <x:f>IF(T161&gt;0,I161/T161,"")</x:f>
        <x:v>22476.4</x:v>
      </x:c>
      <x:c r="V161" s="129" t="str">
        <x:v>Regular Gasoline</x:v>
      </x:c>
      <x:c r="W161" s="129" t="str">
        <x:v>No</x:v>
      </x:c>
      <x:c r="X161" s="129" t="str">
        <x:v>Normal</x:v>
      </x:c>
      <x:c r="Y161" s="129" t="str">
        <x:f>IF(R161="AMG C43","No","Yes")</x:f>
        <x:v>Yes</x:v>
      </x:c>
      <x:c r="Z161" s="144" t="str">
        <x:f>IF(Y161="No","Excluded from final analysis: AMG performance model outside the predefined C300 candidate category.","")</x:f>
      </x:c>
    </x:row>
    <x:row r="162">
      <x:c r="A162" s="129" t="str">
        <x:v>BMW3_016</x:v>
      </x:c>
      <x:c r="B162" s="132" t="n">
        <x:v>46233</x:v>
      </x:c>
      <x:c r="C162" s="129" t="str">
        <x:v>Brampton</x:v>
      </x:c>
      <x:c r="D162" s="129" t="str">
        <x:v>BMW</x:v>
      </x:c>
      <x:c r="E162" s="129" t="str">
        <x:v>3 Series</x:v>
      </x:c>
      <x:c r="F162" s="129" t="str">
        <x:v>330i xDrive</x:v>
      </x:c>
      <x:c r="G162" s="135" t="n">
        <x:v>2023</x:v>
      </x:c>
      <x:c r="H162" s="138" t="n">
        <x:v>37900</x:v>
      </x:c>
      <x:c r="I162" s="141" t="n">
        <x:v>32586</x:v>
      </x:c>
      <x:c r="J162" s="129" t="str">
        <x:v>Sedan</x:v>
      </x:c>
      <x:c r="K162" s="129" t="str">
        <x:v>AWD</x:v>
      </x:c>
      <x:c r="L162" s="129" t="str">
        <x:v>2.0L Turbo I4</x:v>
      </x:c>
      <x:c r="M162" s="129" t="str">
        <x:v>Gasoline</x:v>
      </x:c>
      <x:c r="N162" s="129" t="str">
        <x:v>8-speed Automatic</x:v>
      </x:c>
      <x:c r="O162" s="129" t="str">
        <x:v>Good Deal</x:v>
      </x:c>
      <x:c r="P162" s="129" t="str">
        <x:v>G20 LCI</x:v>
      </x:c>
      <x:c r="Q162" s="144" t="str"/>
      <x:c r="R162" s="129" t="str">
        <x:v>3 Series</x:v>
      </x:c>
      <x:c r="S162" s="129" t="str">
        <x:v>Compact Luxury</x:v>
      </x:c>
      <x:c r="T162" s="147" t="n">
        <x:f>2026-G162</x:f>
        <x:v>3</x:v>
      </x:c>
      <x:c r="U162" s="150" t="n">
        <x:f>IF(T162&gt;0,I162/T162,"")</x:f>
        <x:v>10862</x:v>
      </x:c>
      <x:c r="V162" s="129" t="str">
        <x:v>Regular Gasoline</x:v>
      </x:c>
      <x:c r="W162" s="129" t="str">
        <x:v>No</x:v>
      </x:c>
      <x:c r="X162" s="129" t="str">
        <x:v>Normal</x:v>
      </x:c>
      <x:c r="Y162" s="129" t="str">
        <x:f>IF(R162="AMG C43","No","Yes")</x:f>
        <x:v>Yes</x:v>
      </x:c>
      <x:c r="Z162" s="144" t="str">
        <x:f>IF(Y162="No","Excluded from final analysis: AMG performance model outside the predefined C300 candidate category.","")</x:f>
      </x:c>
    </x:row>
    <x:row r="163">
      <x:c r="A163" s="129" t="str">
        <x:v>BMW3_017</x:v>
      </x:c>
      <x:c r="B163" s="132" t="n">
        <x:v>46233</x:v>
      </x:c>
      <x:c r="C163" s="129" t="str">
        <x:v>Toronto</x:v>
      </x:c>
      <x:c r="D163" s="129" t="str">
        <x:v>BMW</x:v>
      </x:c>
      <x:c r="E163" s="129" t="str">
        <x:v>3 Series</x:v>
      </x:c>
      <x:c r="F163" s="129" t="str">
        <x:v>330i xDrive</x:v>
      </x:c>
      <x:c r="G163" s="135" t="n">
        <x:v>2021</x:v>
      </x:c>
      <x:c r="H163" s="138" t="n">
        <x:v>27880</x:v>
      </x:c>
      <x:c r="I163" s="141" t="n">
        <x:v>73000</x:v>
      </x:c>
      <x:c r="J163" s="129" t="str">
        <x:v>Sedan</x:v>
      </x:c>
      <x:c r="K163" s="129" t="str">
        <x:v>AWD</x:v>
      </x:c>
      <x:c r="L163" s="129" t="str">
        <x:v>2.0L Turbo I4</x:v>
      </x:c>
      <x:c r="M163" s="129" t="str">
        <x:v>Gasoline</x:v>
      </x:c>
      <x:c r="N163" s="129" t="str">
        <x:v>8-speed Automatic</x:v>
      </x:c>
      <x:c r="O163" s="129" t="str">
        <x:v>Good Deal</x:v>
      </x:c>
      <x:c r="P163" s="129" t="str">
        <x:v>G20</x:v>
      </x:c>
      <x:c r="Q163" s="144" t="str"/>
      <x:c r="R163" s="129" t="str">
        <x:v>3 Series</x:v>
      </x:c>
      <x:c r="S163" s="129" t="str">
        <x:v>Compact Luxury</x:v>
      </x:c>
      <x:c r="T163" s="147" t="n">
        <x:f>2026-G163</x:f>
        <x:v>5</x:v>
      </x:c>
      <x:c r="U163" s="150" t="n">
        <x:f>IF(T163&gt;0,I163/T163,"")</x:f>
        <x:v>14600</x:v>
      </x:c>
      <x:c r="V163" s="129" t="str">
        <x:v>Regular Gasoline</x:v>
      </x:c>
      <x:c r="W163" s="129" t="str">
        <x:v>No</x:v>
      </x:c>
      <x:c r="X163" s="129" t="str">
        <x:v>Normal</x:v>
      </x:c>
      <x:c r="Y163" s="129" t="str">
        <x:f>IF(R163="AMG C43","No","Yes")</x:f>
        <x:v>Yes</x:v>
      </x:c>
      <x:c r="Z163" s="144" t="str">
        <x:f>IF(Y163="No","Excluded from final analysis: AMG performance model outside the predefined C300 candidate category.","")</x:f>
      </x:c>
    </x:row>
    <x:row r="164">
      <x:c r="A164" s="129" t="str">
        <x:v>BMW3_018</x:v>
      </x:c>
      <x:c r="B164" s="132" t="n">
        <x:v>46233</x:v>
      </x:c>
      <x:c r="C164" s="129" t="str">
        <x:v>Mississauga</x:v>
      </x:c>
      <x:c r="D164" s="129" t="str">
        <x:v>BMW</x:v>
      </x:c>
      <x:c r="E164" s="129" t="str">
        <x:v>3 Series</x:v>
      </x:c>
      <x:c r="F164" s="129" t="str">
        <x:v>330i xDrive</x:v>
      </x:c>
      <x:c r="G164" s="135" t="n">
        <x:v>2022</x:v>
      </x:c>
      <x:c r="H164" s="138" t="n">
        <x:v>28750</x:v>
      </x:c>
      <x:c r="I164" s="141" t="n">
        <x:v>103200</x:v>
      </x:c>
      <x:c r="J164" s="129" t="str">
        <x:v>Sedan</x:v>
      </x:c>
      <x:c r="K164" s="129" t="str">
        <x:v>AWD</x:v>
      </x:c>
      <x:c r="L164" s="129" t="str">
        <x:v>2.0L Turbo I4</x:v>
      </x:c>
      <x:c r="M164" s="129" t="str">
        <x:v>Gasoline</x:v>
      </x:c>
      <x:c r="N164" s="129" t="str">
        <x:v>8-speed Automatic</x:v>
      </x:c>
      <x:c r="O164" s="129" t="str">
        <x:v>Good Deal</x:v>
      </x:c>
      <x:c r="P164" s="129" t="str">
        <x:v>G20</x:v>
      </x:c>
      <x:c r="Q164" s="144" t="str"/>
      <x:c r="R164" s="129" t="str">
        <x:v>3 Series</x:v>
      </x:c>
      <x:c r="S164" s="129" t="str">
        <x:v>Compact Luxury</x:v>
      </x:c>
      <x:c r="T164" s="147" t="n">
        <x:f>2026-G164</x:f>
        <x:v>4</x:v>
      </x:c>
      <x:c r="U164" s="150" t="n">
        <x:f>IF(T164&gt;0,I164/T164,"")</x:f>
        <x:v>25800</x:v>
      </x:c>
      <x:c r="V164" s="129" t="str">
        <x:v>Regular Gasoline</x:v>
      </x:c>
      <x:c r="W164" s="129" t="str">
        <x:v>No</x:v>
      </x:c>
      <x:c r="X164" s="129" t="str">
        <x:v>Normal</x:v>
      </x:c>
      <x:c r="Y164" s="129" t="str">
        <x:f>IF(R164="AMG C43","No","Yes")</x:f>
        <x:v>Yes</x:v>
      </x:c>
      <x:c r="Z164" s="144" t="str">
        <x:f>IF(Y164="No","Excluded from final analysis: AMG performance model outside the predefined C300 candidate category.","")</x:f>
      </x:c>
    </x:row>
    <x:row r="165">
      <x:c r="A165" s="129" t="str">
        <x:v>BMW3_019</x:v>
      </x:c>
      <x:c r="B165" s="132" t="n">
        <x:v>46233</x:v>
      </x:c>
      <x:c r="C165" s="129" t="str">
        <x:v>Toronto</x:v>
      </x:c>
      <x:c r="D165" s="129" t="str">
        <x:v>BMW</x:v>
      </x:c>
      <x:c r="E165" s="129" t="str">
        <x:v>3 Series</x:v>
      </x:c>
      <x:c r="F165" s="129" t="str">
        <x:v>330i xDrive</x:v>
      </x:c>
      <x:c r="G165" s="135" t="n">
        <x:v>2021</x:v>
      </x:c>
      <x:c r="H165" s="138" t="n">
        <x:v>33980</x:v>
      </x:c>
      <x:c r="I165" s="141" t="n">
        <x:v>36781</x:v>
      </x:c>
      <x:c r="J165" s="129" t="str">
        <x:v>Sedan</x:v>
      </x:c>
      <x:c r="K165" s="129" t="str">
        <x:v>AWD</x:v>
      </x:c>
      <x:c r="L165" s="129" t="str">
        <x:v>2.0L Turbo I4</x:v>
      </x:c>
      <x:c r="M165" s="129" t="str">
        <x:v>Gasoline</x:v>
      </x:c>
      <x:c r="N165" s="129" t="str">
        <x:v>8-speed Automatic</x:v>
      </x:c>
      <x:c r="O165" s="129" t="str">
        <x:v>Good Deal</x:v>
      </x:c>
      <x:c r="P165" s="129" t="str">
        <x:v>G20</x:v>
      </x:c>
      <x:c r="Q165" s="144" t="str"/>
      <x:c r="R165" s="129" t="str">
        <x:v>3 Series</x:v>
      </x:c>
      <x:c r="S165" s="129" t="str">
        <x:v>Compact Luxury</x:v>
      </x:c>
      <x:c r="T165" s="147" t="n">
        <x:f>2026-G165</x:f>
        <x:v>5</x:v>
      </x:c>
      <x:c r="U165" s="150" t="n">
        <x:f>IF(T165&gt;0,I165/T165,"")</x:f>
        <x:v>7356.2</x:v>
      </x:c>
      <x:c r="V165" s="129" t="str">
        <x:v>Regular Gasoline</x:v>
      </x:c>
      <x:c r="W165" s="129" t="str">
        <x:v>No</x:v>
      </x:c>
      <x:c r="X165" s="129" t="str">
        <x:v>Normal</x:v>
      </x:c>
      <x:c r="Y165" s="129" t="str">
        <x:f>IF(R165="AMG C43","No","Yes")</x:f>
        <x:v>Yes</x:v>
      </x:c>
      <x:c r="Z165" s="144" t="str">
        <x:f>IF(Y165="No","Excluded from final analysis: AMG performance model outside the predefined C300 candidate category.","")</x:f>
      </x:c>
    </x:row>
    <x:row r="166">
      <x:c r="A166" s="129" t="str">
        <x:v>BMW3_020</x:v>
      </x:c>
      <x:c r="B166" s="132" t="n">
        <x:v>46233</x:v>
      </x:c>
      <x:c r="C166" s="129" t="str">
        <x:v>Scarborough</x:v>
      </x:c>
      <x:c r="D166" s="129" t="str">
        <x:v>BMW</x:v>
      </x:c>
      <x:c r="E166" s="129" t="str">
        <x:v>3 Series</x:v>
      </x:c>
      <x:c r="F166" s="129" t="str">
        <x:v>330i xDrive</x:v>
      </x:c>
      <x:c r="G166" s="135" t="n">
        <x:v>2020</x:v>
      </x:c>
      <x:c r="H166" s="138" t="n">
        <x:v>27777</x:v>
      </x:c>
      <x:c r="I166" s="141" t="n">
        <x:v>80000</x:v>
      </x:c>
      <x:c r="J166" s="129" t="str">
        <x:v>Sedan</x:v>
      </x:c>
      <x:c r="K166" s="129" t="str">
        <x:v>AWD</x:v>
      </x:c>
      <x:c r="L166" s="129" t="str">
        <x:v>2.0L Turbo I4</x:v>
      </x:c>
      <x:c r="M166" s="129" t="str">
        <x:v>Gasoline</x:v>
      </x:c>
      <x:c r="N166" s="129" t="str">
        <x:v>8-speed Automatic</x:v>
      </x:c>
      <x:c r="O166" s="129" t="str">
        <x:v>Good Deal</x:v>
      </x:c>
      <x:c r="P166" s="129" t="str">
        <x:v>G20</x:v>
      </x:c>
      <x:c r="Q166" s="144" t="str"/>
      <x:c r="R166" s="129" t="str">
        <x:v>3 Series</x:v>
      </x:c>
      <x:c r="S166" s="129" t="str">
        <x:v>Compact Luxury</x:v>
      </x:c>
      <x:c r="T166" s="147" t="n">
        <x:f>2026-G166</x:f>
        <x:v>6</x:v>
      </x:c>
      <x:c r="U166" s="150" t="n">
        <x:f>IF(T166&gt;0,I166/T166,"")</x:f>
        <x:v>13333.333333333334</x:v>
      </x:c>
      <x:c r="V166" s="129" t="str">
        <x:v>Regular Gasoline</x:v>
      </x:c>
      <x:c r="W166" s="129" t="str">
        <x:v>No</x:v>
      </x:c>
      <x:c r="X166" s="129" t="str">
        <x:v>Normal</x:v>
      </x:c>
      <x:c r="Y166" s="129" t="str">
        <x:f>IF(R166="AMG C43","No","Yes")</x:f>
        <x:v>Yes</x:v>
      </x:c>
      <x:c r="Z166" s="144" t="str">
        <x:f>IF(Y166="No","Excluded from final analysis: AMG performance model outside the predefined C300 candidate category.","")</x:f>
      </x:c>
    </x:row>
    <x:row r="167">
      <x:c r="A167" s="129" t="str">
        <x:v>BMW3_021</x:v>
      </x:c>
      <x:c r="B167" s="132" t="n">
        <x:v>46233</x:v>
      </x:c>
      <x:c r="C167" s="129" t="str">
        <x:v>Mississauga</x:v>
      </x:c>
      <x:c r="D167" s="129" t="str">
        <x:v>BMW</x:v>
      </x:c>
      <x:c r="E167" s="129" t="str">
        <x:v>3 Series</x:v>
      </x:c>
      <x:c r="F167" s="129" t="str">
        <x:v>330i xDrive</x:v>
      </x:c>
      <x:c r="G167" s="135" t="n">
        <x:v>2025</x:v>
      </x:c>
      <x:c r="H167" s="138" t="n">
        <x:v>52999</x:v>
      </x:c>
      <x:c r="I167" s="141" t="n">
        <x:v>29646</x:v>
      </x:c>
      <x:c r="J167" s="129" t="str">
        <x:v>Sedan</x:v>
      </x:c>
      <x:c r="K167" s="129" t="str">
        <x:v>AWD</x:v>
      </x:c>
      <x:c r="L167" s="129" t="str">
        <x:v>2.0L Turbo I4</x:v>
      </x:c>
      <x:c r="M167" s="129" t="str">
        <x:v>Gasoline</x:v>
      </x:c>
      <x:c r="N167" s="129" t="str">
        <x:v>8-speed Automatic</x:v>
      </x:c>
      <x:c r="O167" s="129" t="str">
        <x:v>Good Deal</x:v>
      </x:c>
      <x:c r="P167" s="129" t="str">
        <x:v>G20 LCI</x:v>
      </x:c>
      <x:c r="Q167" s="144" t="str"/>
      <x:c r="R167" s="129" t="str">
        <x:v>3 Series</x:v>
      </x:c>
      <x:c r="S167" s="129" t="str">
        <x:v>Compact Luxury</x:v>
      </x:c>
      <x:c r="T167" s="147" t="n">
        <x:f>2026-G167</x:f>
        <x:v>1</x:v>
      </x:c>
      <x:c r="U167" s="150" t="n">
        <x:f>IF(T167&gt;0,I167/T167,"")</x:f>
        <x:v>29646</x:v>
      </x:c>
      <x:c r="V167" s="129" t="str">
        <x:v>Regular Gasoline</x:v>
      </x:c>
      <x:c r="W167" s="129" t="str">
        <x:v>No</x:v>
      </x:c>
      <x:c r="X167" s="129" t="str">
        <x:v>Normal</x:v>
      </x:c>
      <x:c r="Y167" s="129" t="str">
        <x:f>IF(R167="AMG C43","No","Yes")</x:f>
        <x:v>Yes</x:v>
      </x:c>
      <x:c r="Z167" s="144" t="str">
        <x:f>IF(Y167="No","Excluded from final analysis: AMG performance model outside the predefined C300 candidate category.","")</x:f>
      </x:c>
    </x:row>
    <x:row r="168">
      <x:c r="A168" s="129" t="str">
        <x:v>BMW3_022</x:v>
      </x:c>
      <x:c r="B168" s="132" t="n">
        <x:v>46233</x:v>
      </x:c>
      <x:c r="C168" s="129" t="str">
        <x:v>Brampton</x:v>
      </x:c>
      <x:c r="D168" s="129" t="str">
        <x:v>BMW</x:v>
      </x:c>
      <x:c r="E168" s="129" t="str">
        <x:v>3 Series</x:v>
      </x:c>
      <x:c r="F168" s="129" t="str">
        <x:v>330i xDrive</x:v>
      </x:c>
      <x:c r="G168" s="135" t="n">
        <x:v>2023</x:v>
      </x:c>
      <x:c r="H168" s="138" t="n">
        <x:v>38990</x:v>
      </x:c>
      <x:c r="I168" s="141" t="n">
        <x:v>38039</x:v>
      </x:c>
      <x:c r="J168" s="129" t="str">
        <x:v>Sedan</x:v>
      </x:c>
      <x:c r="K168" s="129" t="str">
        <x:v>AWD</x:v>
      </x:c>
      <x:c r="L168" s="129" t="str">
        <x:v>2.0L Turbo I4</x:v>
      </x:c>
      <x:c r="M168" s="129" t="str">
        <x:v>Gasoline</x:v>
      </x:c>
      <x:c r="N168" s="129" t="str">
        <x:v>8-speed Automatic</x:v>
      </x:c>
      <x:c r="O168" s="129" t="str">
        <x:v>Good Deal</x:v>
      </x:c>
      <x:c r="P168" s="129" t="str">
        <x:v>G20 LCI</x:v>
      </x:c>
      <x:c r="Q168" s="144" t="str"/>
      <x:c r="R168" s="129" t="str">
        <x:v>3 Series</x:v>
      </x:c>
      <x:c r="S168" s="129" t="str">
        <x:v>Compact Luxury</x:v>
      </x:c>
      <x:c r="T168" s="147" t="n">
        <x:f>2026-G168</x:f>
        <x:v>3</x:v>
      </x:c>
      <x:c r="U168" s="150" t="n">
        <x:f>IF(T168&gt;0,I168/T168,"")</x:f>
        <x:v>12679.666666666666</x:v>
      </x:c>
      <x:c r="V168" s="129" t="str">
        <x:v>Regular Gasoline</x:v>
      </x:c>
      <x:c r="W168" s="129" t="str">
        <x:v>No</x:v>
      </x:c>
      <x:c r="X168" s="129" t="str">
        <x:v>Normal</x:v>
      </x:c>
      <x:c r="Y168" s="129" t="str">
        <x:f>IF(R168="AMG C43","No","Yes")</x:f>
        <x:v>Yes</x:v>
      </x:c>
      <x:c r="Z168" s="144" t="str">
        <x:f>IF(Y168="No","Excluded from final analysis: AMG performance model outside the predefined C300 candidate category.","")</x:f>
      </x:c>
    </x:row>
    <x:row r="169">
      <x:c r="A169" s="129" t="str">
        <x:v>G70_001</x:v>
      </x:c>
      <x:c r="B169" s="132" t="n">
        <x:v>46233</x:v>
      </x:c>
      <x:c r="C169" s="129" t="str">
        <x:v>Not recorded</x:v>
      </x:c>
      <x:c r="D169" s="129" t="str">
        <x:v>Genesis</x:v>
      </x:c>
      <x:c r="E169" s="129" t="str">
        <x:v>G70</x:v>
      </x:c>
      <x:c r="F169" s="129" t="str">
        <x:v>2.0T Advanced</x:v>
      </x:c>
      <x:c r="G169" s="135" t="n">
        <x:v>2023</x:v>
      </x:c>
      <x:c r="H169" s="138" t="n">
        <x:v>30490</x:v>
      </x:c>
      <x:c r="I169" s="141" t="n">
        <x:v>51000</x:v>
      </x:c>
      <x:c r="J169" s="129" t="str">
        <x:v>Sedan</x:v>
      </x:c>
      <x:c r="K169" s="129" t="str">
        <x:v>AWD</x:v>
      </x:c>
      <x:c r="L169" s="129" t="str">
        <x:v>2.0L Turbo I4</x:v>
      </x:c>
      <x:c r="M169" s="129" t="str">
        <x:v>Gasoline</x:v>
      </x:c>
      <x:c r="N169" s="129" t="str">
        <x:v>8-speed Automatic</x:v>
      </x:c>
      <x:c r="O169" s="129" t="str">
        <x:v>Fair Deal</x:v>
      </x:c>
      <x:c r="P169" s="129" t="str">
        <x:v>1st Gen Facelift</x:v>
      </x:c>
      <x:c r="Q169" s="144" t="str">
        <x:v>duplicate listing removed</x:v>
      </x:c>
      <x:c r="R169" s="129" t="str">
        <x:v>G70 2.0T</x:v>
      </x:c>
      <x:c r="S169" s="129" t="str">
        <x:v>Compact Luxury</x:v>
      </x:c>
      <x:c r="T169" s="147" t="n">
        <x:f>2026-G169</x:f>
        <x:v>3</x:v>
      </x:c>
      <x:c r="U169" s="150" t="n">
        <x:f>IF(T169&gt;0,I169/T169,"")</x:f>
        <x:v>17000</x:v>
      </x:c>
      <x:c r="V169" s="129" t="str">
        <x:v>Regular Gasoline</x:v>
      </x:c>
      <x:c r="W169" s="129" t="str">
        <x:v>No</x:v>
      </x:c>
      <x:c r="X169" s="129" t="str">
        <x:v>Normal</x:v>
      </x:c>
      <x:c r="Y169" s="129" t="str">
        <x:f>IF(R169="AMG C43","No","Yes")</x:f>
        <x:v>Yes</x:v>
      </x:c>
      <x:c r="Z169" s="144" t="str">
        <x:f>IF(Y169="No","Excluded from final analysis: AMG performance model outside the predefined C300 candidate category.","")</x:f>
      </x:c>
    </x:row>
    <x:row r="170">
      <x:c r="A170" s="129" t="str">
        <x:v>G70_002</x:v>
      </x:c>
      <x:c r="B170" s="132" t="n">
        <x:v>46233</x:v>
      </x:c>
      <x:c r="C170" s="129" t="str">
        <x:v>Not recorded</x:v>
      </x:c>
      <x:c r="D170" s="129" t="str">
        <x:v>Genesis</x:v>
      </x:c>
      <x:c r="E170" s="129" t="str">
        <x:v>G70</x:v>
      </x:c>
      <x:c r="F170" s="129" t="str">
        <x:v>3.3T Sport</x:v>
      </x:c>
      <x:c r="G170" s="135" t="n">
        <x:v>2023</x:v>
      </x:c>
      <x:c r="H170" s="138" t="n">
        <x:v>37090</x:v>
      </x:c>
      <x:c r="I170" s="141" t="n">
        <x:v>60000</x:v>
      </x:c>
      <x:c r="J170" s="129" t="str">
        <x:v>Sedan</x:v>
      </x:c>
      <x:c r="K170" s="129" t="str">
        <x:v>AWD</x:v>
      </x:c>
      <x:c r="L170" s="129" t="str">
        <x:v>3.3L Twin-Turbo V6</x:v>
      </x:c>
      <x:c r="M170" s="129" t="str">
        <x:v>Gasoline</x:v>
      </x:c>
      <x:c r="N170" s="129" t="str">
        <x:v>8-speed Automatic</x:v>
      </x:c>
      <x:c r="O170" s="129" t="str">
        <x:v>Fair Deal</x:v>
      </x:c>
      <x:c r="P170" s="129" t="str">
        <x:v>1st Gen Facelift</x:v>
      </x:c>
      <x:c r="Q170" s="144" t="str">
        <x:v>duplicate listing removed</x:v>
      </x:c>
      <x:c r="R170" s="129" t="str">
        <x:v>G70 3.3T</x:v>
      </x:c>
      <x:c r="S170" s="129" t="str">
        <x:v>Compact Luxury</x:v>
      </x:c>
      <x:c r="T170" s="147" t="n">
        <x:f>2026-G170</x:f>
        <x:v>3</x:v>
      </x:c>
      <x:c r="U170" s="150" t="n">
        <x:f>IF(T170&gt;0,I170/T170,"")</x:f>
        <x:v>20000</x:v>
      </x:c>
      <x:c r="V170" s="129" t="str">
        <x:v>Performance Gasoline</x:v>
      </x:c>
      <x:c r="W170" s="129" t="str">
        <x:v>Yes</x:v>
      </x:c>
      <x:c r="X170" s="129" t="str">
        <x:v>Normal</x:v>
      </x:c>
      <x:c r="Y170" s="129" t="str">
        <x:f>IF(R170="AMG C43","No","Yes")</x:f>
        <x:v>Yes</x:v>
      </x:c>
      <x:c r="Z170" s="144" t="str">
        <x:f>IF(Y170="No","Excluded from final analysis: AMG performance model outside the predefined C300 candidate category.","")</x:f>
      </x:c>
    </x:row>
    <x:row r="171">
      <x:c r="A171" s="129" t="str">
        <x:v>G70_003</x:v>
      </x:c>
      <x:c r="B171" s="132" t="n">
        <x:v>46233</x:v>
      </x:c>
      <x:c r="C171" s="129" t="str">
        <x:v>Thornhill</x:v>
      </x:c>
      <x:c r="D171" s="129" t="str">
        <x:v>Genesis</x:v>
      </x:c>
      <x:c r="E171" s="129" t="str">
        <x:v>G70</x:v>
      </x:c>
      <x:c r="F171" s="129" t="str">
        <x:v>3.3T Sport Advanced</x:v>
      </x:c>
      <x:c r="G171" s="135" t="n">
        <x:v>2024</x:v>
      </x:c>
      <x:c r="H171" s="138" t="n">
        <x:v>47848</x:v>
      </x:c>
      <x:c r="I171" s="141" t="n">
        <x:v>28169</x:v>
      </x:c>
      <x:c r="J171" s="129" t="str">
        <x:v>Sedan</x:v>
      </x:c>
      <x:c r="K171" s="129" t="str">
        <x:v>AWD</x:v>
      </x:c>
      <x:c r="L171" s="129" t="str">
        <x:v>3.3L Twin-Turbo V6</x:v>
      </x:c>
      <x:c r="M171" s="129" t="str">
        <x:v>Gasoline</x:v>
      </x:c>
      <x:c r="N171" s="129" t="str">
        <x:v>8-speed Automatic</x:v>
      </x:c>
      <x:c r="O171" s="129" t="str">
        <x:v>Fair Deal</x:v>
      </x:c>
      <x:c r="P171" s="129" t="str">
        <x:v>1st Gen Facelift</x:v>
      </x:c>
      <x:c r="Q171" s="144" t="str">
        <x:v>duplicate listing removed</x:v>
      </x:c>
      <x:c r="R171" s="129" t="str">
        <x:v>G70 3.3T</x:v>
      </x:c>
      <x:c r="S171" s="129" t="str">
        <x:v>Compact Luxury</x:v>
      </x:c>
      <x:c r="T171" s="147" t="n">
        <x:f>2026-G171</x:f>
        <x:v>2</x:v>
      </x:c>
      <x:c r="U171" s="150" t="n">
        <x:f>IF(T171&gt;0,I171/T171,"")</x:f>
        <x:v>14084.5</x:v>
      </x:c>
      <x:c r="V171" s="129" t="str">
        <x:v>Performance Gasoline</x:v>
      </x:c>
      <x:c r="W171" s="129" t="str">
        <x:v>Yes</x:v>
      </x:c>
      <x:c r="X171" s="129" t="str">
        <x:v>Normal</x:v>
      </x:c>
      <x:c r="Y171" s="129" t="str">
        <x:f>IF(R171="AMG C43","No","Yes")</x:f>
        <x:v>Yes</x:v>
      </x:c>
      <x:c r="Z171" s="144" t="str">
        <x:f>IF(Y171="No","Excluded from final analysis: AMG performance model outside the predefined C300 candidate category.","")</x:f>
      </x:c>
    </x:row>
    <x:row r="172">
      <x:c r="A172" s="129" t="str">
        <x:v>G70_004</x:v>
      </x:c>
      <x:c r="B172" s="132" t="n">
        <x:v>46233</x:v>
      </x:c>
      <x:c r="C172" s="129" t="str">
        <x:v>Etobicoke</x:v>
      </x:c>
      <x:c r="D172" s="129" t="str">
        <x:v>Genesis</x:v>
      </x:c>
      <x:c r="E172" s="129" t="str">
        <x:v>G70</x:v>
      </x:c>
      <x:c r="F172" s="129" t="str">
        <x:v>2.5T Standard</x:v>
      </x:c>
      <x:c r="G172" s="135" t="n">
        <x:v>2024</x:v>
      </x:c>
      <x:c r="H172" s="138" t="n">
        <x:v>41500</x:v>
      </x:c>
      <x:c r="I172" s="141" t="n">
        <x:v>25906</x:v>
      </x:c>
      <x:c r="J172" s="129" t="str">
        <x:v>Sedan</x:v>
      </x:c>
      <x:c r="K172" s="129" t="str">
        <x:v>RWD</x:v>
      </x:c>
      <x:c r="L172" s="129" t="str">
        <x:v>2.5L Turbo I4</x:v>
      </x:c>
      <x:c r="M172" s="129" t="str">
        <x:v>Gasoline</x:v>
      </x:c>
      <x:c r="N172" s="129" t="str">
        <x:v>8-speed Automatic</x:v>
      </x:c>
      <x:c r="O172" s="129" t="str">
        <x:v>Fair Deal</x:v>
      </x:c>
      <x:c r="P172" s="129" t="str">
        <x:v>1st Gen Facelift</x:v>
      </x:c>
      <x:c r="Q172" s="144" t="str"/>
      <x:c r="R172" s="129" t="str">
        <x:v>G70 2.5T</x:v>
      </x:c>
      <x:c r="S172" s="129" t="str">
        <x:v>Compact Luxury</x:v>
      </x:c>
      <x:c r="T172" s="147" t="n">
        <x:f>2026-G172</x:f>
        <x:v>2</x:v>
      </x:c>
      <x:c r="U172" s="150" t="n">
        <x:f>IF(T172&gt;0,I172/T172,"")</x:f>
        <x:v>12953</x:v>
      </x:c>
      <x:c r="V172" s="129" t="str">
        <x:v>Regular Gasoline</x:v>
      </x:c>
      <x:c r="W172" s="129" t="str">
        <x:v>No</x:v>
      </x:c>
      <x:c r="X172" s="129" t="str">
        <x:v>Normal</x:v>
      </x:c>
      <x:c r="Y172" s="129" t="str">
        <x:f>IF(R172="AMG C43","No","Yes")</x:f>
        <x:v>Yes</x:v>
      </x:c>
      <x:c r="Z172" s="144" t="str">
        <x:f>IF(Y172="No","Excluded from final analysis: AMG performance model outside the predefined C300 candidate category.","")</x:f>
      </x:c>
    </x:row>
    <x:row r="173">
      <x:c r="A173" s="129" t="str">
        <x:v>G70_005</x:v>
      </x:c>
      <x:c r="B173" s="132" t="n">
        <x:v>46233</x:v>
      </x:c>
      <x:c r="C173" s="129" t="str">
        <x:v>Burlington</x:v>
      </x:c>
      <x:c r="D173" s="129" t="str">
        <x:v>Genesis</x:v>
      </x:c>
      <x:c r="E173" s="129" t="str">
        <x:v>G70</x:v>
      </x:c>
      <x:c r="F173" s="129" t="str">
        <x:v>3.3T Sport</x:v>
      </x:c>
      <x:c r="G173" s="135" t="n">
        <x:v>2023</x:v>
      </x:c>
      <x:c r="H173" s="138" t="n">
        <x:v>37980</x:v>
      </x:c>
      <x:c r="I173" s="141" t="n">
        <x:v>61326</x:v>
      </x:c>
      <x:c r="J173" s="129" t="str">
        <x:v>Sedan</x:v>
      </x:c>
      <x:c r="K173" s="129" t="str">
        <x:v>AWD</x:v>
      </x:c>
      <x:c r="L173" s="129" t="str">
        <x:v>3.3L Twin-Turbo V6</x:v>
      </x:c>
      <x:c r="M173" s="129" t="str">
        <x:v>Gasoline</x:v>
      </x:c>
      <x:c r="N173" s="129" t="str">
        <x:v>8-speed Automatic</x:v>
      </x:c>
      <x:c r="O173" s="129" t="str">
        <x:v>Fair Deal</x:v>
      </x:c>
      <x:c r="P173" s="129" t="str">
        <x:v>1st Gen Facelift</x:v>
      </x:c>
      <x:c r="Q173" s="144" t="str"/>
      <x:c r="R173" s="129" t="str">
        <x:v>G70 3.3T</x:v>
      </x:c>
      <x:c r="S173" s="129" t="str">
        <x:v>Compact Luxury</x:v>
      </x:c>
      <x:c r="T173" s="147" t="n">
        <x:f>2026-G173</x:f>
        <x:v>3</x:v>
      </x:c>
      <x:c r="U173" s="150" t="n">
        <x:f>IF(T173&gt;0,I173/T173,"")</x:f>
        <x:v>20442</x:v>
      </x:c>
      <x:c r="V173" s="129" t="str">
        <x:v>Performance Gasoline</x:v>
      </x:c>
      <x:c r="W173" s="129" t="str">
        <x:v>Yes</x:v>
      </x:c>
      <x:c r="X173" s="129" t="str">
        <x:v>Normal</x:v>
      </x:c>
      <x:c r="Y173" s="129" t="str">
        <x:f>IF(R173="AMG C43","No","Yes")</x:f>
        <x:v>Yes</x:v>
      </x:c>
      <x:c r="Z173" s="144" t="str">
        <x:f>IF(Y173="No","Excluded from final analysis: AMG performance model outside the predefined C300 candidate category.","")</x:f>
      </x:c>
    </x:row>
    <x:row r="174">
      <x:c r="A174" s="129" t="str">
        <x:v>G70_006</x:v>
      </x:c>
      <x:c r="B174" s="132" t="n">
        <x:v>46233</x:v>
      </x:c>
      <x:c r="C174" s="129" t="str">
        <x:v>Not recorded</x:v>
      </x:c>
      <x:c r="D174" s="129" t="str">
        <x:v>Genesis</x:v>
      </x:c>
      <x:c r="E174" s="129" t="str">
        <x:v>G70</x:v>
      </x:c>
      <x:c r="F174" s="129" t="str">
        <x:v>3.3T Sport</x:v>
      </x:c>
      <x:c r="G174" s="135" t="n">
        <x:v>2022</x:v>
      </x:c>
      <x:c r="H174" s="138" t="n">
        <x:v>34790</x:v>
      </x:c>
      <x:c r="I174" s="141" t="n">
        <x:v>59800</x:v>
      </x:c>
      <x:c r="J174" s="129" t="str">
        <x:v>Sedan</x:v>
      </x:c>
      <x:c r="K174" s="129" t="str">
        <x:v>AWD</x:v>
      </x:c>
      <x:c r="L174" s="129" t="str">
        <x:v>3.3L Twin-Turbo V6</x:v>
      </x:c>
      <x:c r="M174" s="129" t="str">
        <x:v>Gasoline</x:v>
      </x:c>
      <x:c r="N174" s="129" t="str">
        <x:v>8-speed Automatic</x:v>
      </x:c>
      <x:c r="O174" s="129" t="str">
        <x:v>Fair Deal</x:v>
      </x:c>
      <x:c r="P174" s="129" t="str">
        <x:v>1st Gen Facelift</x:v>
      </x:c>
      <x:c r="Q174" s="144" t="str"/>
      <x:c r="R174" s="129" t="str">
        <x:v>G70 3.3T</x:v>
      </x:c>
      <x:c r="S174" s="129" t="str">
        <x:v>Compact Luxury</x:v>
      </x:c>
      <x:c r="T174" s="147" t="n">
        <x:f>2026-G174</x:f>
        <x:v>4</x:v>
      </x:c>
      <x:c r="U174" s="150" t="n">
        <x:f>IF(T174&gt;0,I174/T174,"")</x:f>
        <x:v>14950</x:v>
      </x:c>
      <x:c r="V174" s="129" t="str">
        <x:v>Performance Gasoline</x:v>
      </x:c>
      <x:c r="W174" s="129" t="str">
        <x:v>Yes</x:v>
      </x:c>
      <x:c r="X174" s="129" t="str">
        <x:v>Normal</x:v>
      </x:c>
      <x:c r="Y174" s="129" t="str">
        <x:f>IF(R174="AMG C43","No","Yes")</x:f>
        <x:v>Yes</x:v>
      </x:c>
      <x:c r="Z174" s="144" t="str">
        <x:f>IF(Y174="No","Excluded from final analysis: AMG performance model outside the predefined C300 candidate category.","")</x:f>
      </x:c>
    </x:row>
    <x:row r="175">
      <x:c r="A175" s="129" t="str">
        <x:v>G70_007</x:v>
      </x:c>
      <x:c r="B175" s="132" t="n">
        <x:v>46233</x:v>
      </x:c>
      <x:c r="C175" s="129" t="str">
        <x:v>Toronto</x:v>
      </x:c>
      <x:c r="D175" s="129" t="str">
        <x:v>Genesis</x:v>
      </x:c>
      <x:c r="E175" s="129" t="str">
        <x:v>G70</x:v>
      </x:c>
      <x:c r="F175" s="129" t="str">
        <x:v>2.0T Advanced</x:v>
      </x:c>
      <x:c r="G175" s="135" t="n">
        <x:v>2023</x:v>
      </x:c>
      <x:c r="H175" s="138" t="n">
        <x:v>33988</x:v>
      </x:c>
      <x:c r="I175" s="141" t="n">
        <x:v>16444</x:v>
      </x:c>
      <x:c r="J175" s="129" t="str">
        <x:v>Sedan</x:v>
      </x:c>
      <x:c r="K175" s="129" t="str">
        <x:v>AWD</x:v>
      </x:c>
      <x:c r="L175" s="129" t="str">
        <x:v>2.0L Turbo I4</x:v>
      </x:c>
      <x:c r="M175" s="129" t="str">
        <x:v>Gasoline</x:v>
      </x:c>
      <x:c r="N175" s="129" t="str">
        <x:v>8-speed Automatic</x:v>
      </x:c>
      <x:c r="O175" s="129" t="str">
        <x:v>Fair Deal</x:v>
      </x:c>
      <x:c r="P175" s="129" t="str">
        <x:v>1st Gen Facelift</x:v>
      </x:c>
      <x:c r="Q175" s="144" t="str">
        <x:v>low mileage</x:v>
      </x:c>
      <x:c r="R175" s="129" t="str">
        <x:v>G70 2.0T</x:v>
      </x:c>
      <x:c r="S175" s="129" t="str">
        <x:v>Compact Luxury</x:v>
      </x:c>
      <x:c r="T175" s="147" t="n">
        <x:f>2026-G175</x:f>
        <x:v>3</x:v>
      </x:c>
      <x:c r="U175" s="150" t="n">
        <x:f>IF(T175&gt;0,I175/T175,"")</x:f>
        <x:v>5481.333333333333</x:v>
      </x:c>
      <x:c r="V175" s="129" t="str">
        <x:v>Regular Gasoline</x:v>
      </x:c>
      <x:c r="W175" s="129" t="str">
        <x:v>No</x:v>
      </x:c>
      <x:c r="X175" s="129" t="str">
        <x:v>Normal</x:v>
      </x:c>
      <x:c r="Y175" s="129" t="str">
        <x:f>IF(R175="AMG C43","No","Yes")</x:f>
        <x:v>Yes</x:v>
      </x:c>
      <x:c r="Z175" s="144" t="str">
        <x:f>IF(Y175="No","Excluded from final analysis: AMG performance model outside the predefined C300 candidate category.","")</x:f>
      </x:c>
    </x:row>
    <x:row r="176">
      <x:c r="A176" s="129" t="str">
        <x:v>G70_008</x:v>
      </x:c>
      <x:c r="B176" s="132" t="n">
        <x:v>46233</x:v>
      </x:c>
      <x:c r="C176" s="129" t="str">
        <x:v>Saint-Jerome</x:v>
      </x:c>
      <x:c r="D176" s="129" t="str">
        <x:v>Genesis</x:v>
      </x:c>
      <x:c r="E176" s="129" t="str">
        <x:v>G70</x:v>
      </x:c>
      <x:c r="F176" s="129" t="str">
        <x:v>3.3T Sport</x:v>
      </x:c>
      <x:c r="G176" s="135" t="n">
        <x:v>2022</x:v>
      </x:c>
      <x:c r="H176" s="138" t="n">
        <x:v>32681</x:v>
      </x:c>
      <x:c r="I176" s="141" t="n">
        <x:v>94082</x:v>
      </x:c>
      <x:c r="J176" s="129" t="str">
        <x:v>Sedan</x:v>
      </x:c>
      <x:c r="K176" s="129" t="str">
        <x:v>AWD</x:v>
      </x:c>
      <x:c r="L176" s="129" t="str">
        <x:v>3.3L Twin-Turbo V6</x:v>
      </x:c>
      <x:c r="M176" s="129" t="str">
        <x:v>Gasoline</x:v>
      </x:c>
      <x:c r="N176" s="129" t="str">
        <x:v>8-speed Automatic</x:v>
      </x:c>
      <x:c r="O176" s="129" t="str">
        <x:v>Fair Deal</x:v>
      </x:c>
      <x:c r="P176" s="129" t="str">
        <x:v>1st Gen Facelift</x:v>
      </x:c>
      <x:c r="Q176" s="144" t="str">
        <x:v>price includes $1,031 shipping</x:v>
      </x:c>
      <x:c r="R176" s="129" t="str">
        <x:v>G70 3.3T</x:v>
      </x:c>
      <x:c r="S176" s="129" t="str">
        <x:v>Compact Luxury</x:v>
      </x:c>
      <x:c r="T176" s="147" t="n">
        <x:f>2026-G176</x:f>
        <x:v>4</x:v>
      </x:c>
      <x:c r="U176" s="150" t="n">
        <x:f>IF(T176&gt;0,I176/T176,"")</x:f>
        <x:v>23520.5</x:v>
      </x:c>
      <x:c r="V176" s="129" t="str">
        <x:v>Performance Gasoline</x:v>
      </x:c>
      <x:c r="W176" s="129" t="str">
        <x:v>Yes</x:v>
      </x:c>
      <x:c r="X176" s="129" t="str">
        <x:v>Normal</x:v>
      </x:c>
      <x:c r="Y176" s="129" t="str">
        <x:f>IF(R176="AMG C43","No","Yes")</x:f>
        <x:v>Yes</x:v>
      </x:c>
      <x:c r="Z176" s="144" t="str">
        <x:f>IF(Y176="No","Excluded from final analysis: AMG performance model outside the predefined C300 candidate category.","")</x:f>
      </x:c>
    </x:row>
    <x:row r="177">
      <x:c r="A177" s="129" t="str">
        <x:v>G70_009</x:v>
      </x:c>
      <x:c r="B177" s="132" t="n">
        <x:v>46233</x:v>
      </x:c>
      <x:c r="C177" s="129" t="str">
        <x:v>Brampton</x:v>
      </x:c>
      <x:c r="D177" s="129" t="str">
        <x:v>Genesis</x:v>
      </x:c>
      <x:c r="E177" s="129" t="str">
        <x:v>G70</x:v>
      </x:c>
      <x:c r="F177" s="129" t="str">
        <x:v>3.3T Sport</x:v>
      </x:c>
      <x:c r="G177" s="135" t="n">
        <x:v>2024</x:v>
      </x:c>
      <x:c r="H177" s="138" t="n">
        <x:v>40999</x:v>
      </x:c>
      <x:c r="I177" s="141" t="n">
        <x:v>60259</x:v>
      </x:c>
      <x:c r="J177" s="129" t="str">
        <x:v>Sedan</x:v>
      </x:c>
      <x:c r="K177" s="129" t="str">
        <x:v>AWD</x:v>
      </x:c>
      <x:c r="L177" s="129" t="str">
        <x:v>3.3L Twin-Turbo V6</x:v>
      </x:c>
      <x:c r="M177" s="129" t="str">
        <x:v>Gasoline</x:v>
      </x:c>
      <x:c r="N177" s="129" t="str">
        <x:v>8-speed Automatic</x:v>
      </x:c>
      <x:c r="O177" s="129" t="str">
        <x:v>Fair Deal</x:v>
      </x:c>
      <x:c r="P177" s="129" t="str">
        <x:v>1st Gen Facelift</x:v>
      </x:c>
      <x:c r="Q177" s="144" t="str"/>
      <x:c r="R177" s="129" t="str">
        <x:v>G70 3.3T</x:v>
      </x:c>
      <x:c r="S177" s="129" t="str">
        <x:v>Compact Luxury</x:v>
      </x:c>
      <x:c r="T177" s="147" t="n">
        <x:f>2026-G177</x:f>
        <x:v>2</x:v>
      </x:c>
      <x:c r="U177" s="150" t="n">
        <x:f>IF(T177&gt;0,I177/T177,"")</x:f>
        <x:v>30129.5</x:v>
      </x:c>
      <x:c r="V177" s="129" t="str">
        <x:v>Performance Gasoline</x:v>
      </x:c>
      <x:c r="W177" s="129" t="str">
        <x:v>Yes</x:v>
      </x:c>
      <x:c r="X177" s="129" t="str">
        <x:v>Normal</x:v>
      </x:c>
      <x:c r="Y177" s="129" t="str">
        <x:f>IF(R177="AMG C43","No","Yes")</x:f>
        <x:v>Yes</x:v>
      </x:c>
      <x:c r="Z177" s="144" t="str">
        <x:f>IF(Y177="No","Excluded from final analysis: AMG performance model outside the predefined C300 candidate category.","")</x:f>
      </x:c>
    </x:row>
    <x:row r="178">
      <x:c r="A178" s="129" t="str">
        <x:v>G70_010</x:v>
      </x:c>
      <x:c r="B178" s="132" t="n">
        <x:v>46233</x:v>
      </x:c>
      <x:c r="C178" s="129" t="str">
        <x:v>Burlington</x:v>
      </x:c>
      <x:c r="D178" s="129" t="str">
        <x:v>Genesis</x:v>
      </x:c>
      <x:c r="E178" s="129" t="str">
        <x:v>G70</x:v>
      </x:c>
      <x:c r="F178" s="129" t="str">
        <x:v>3.3T Sport</x:v>
      </x:c>
      <x:c r="G178" s="135" t="n">
        <x:v>2024</x:v>
      </x:c>
      <x:c r="H178" s="138" t="n">
        <x:v>46998</x:v>
      </x:c>
      <x:c r="I178" s="141" t="n">
        <x:v>33561</x:v>
      </x:c>
      <x:c r="J178" s="129" t="str">
        <x:v>Sedan</x:v>
      </x:c>
      <x:c r="K178" s="129" t="str">
        <x:v>AWD</x:v>
      </x:c>
      <x:c r="L178" s="129" t="str">
        <x:v>3.3L Twin-Turbo V6</x:v>
      </x:c>
      <x:c r="M178" s="129" t="str">
        <x:v>Gasoline</x:v>
      </x:c>
      <x:c r="N178" s="129" t="str">
        <x:v>8-speed Automatic</x:v>
      </x:c>
      <x:c r="O178" s="129" t="str">
        <x:v>Fair Deal</x:v>
      </x:c>
      <x:c r="P178" s="129" t="str">
        <x:v>1st Gen Facelift</x:v>
      </x:c>
      <x:c r="Q178" s="144" t="str"/>
      <x:c r="R178" s="129" t="str">
        <x:v>G70 3.3T</x:v>
      </x:c>
      <x:c r="S178" s="129" t="str">
        <x:v>Compact Luxury</x:v>
      </x:c>
      <x:c r="T178" s="147" t="n">
        <x:f>2026-G178</x:f>
        <x:v>2</x:v>
      </x:c>
      <x:c r="U178" s="150" t="n">
        <x:f>IF(T178&gt;0,I178/T178,"")</x:f>
        <x:v>16780.5</x:v>
      </x:c>
      <x:c r="V178" s="129" t="str">
        <x:v>Performance Gasoline</x:v>
      </x:c>
      <x:c r="W178" s="129" t="str">
        <x:v>Yes</x:v>
      </x:c>
      <x:c r="X178" s="129" t="str">
        <x:v>Normal</x:v>
      </x:c>
      <x:c r="Y178" s="129" t="str">
        <x:f>IF(R178="AMG C43","No","Yes")</x:f>
        <x:v>Yes</x:v>
      </x:c>
      <x:c r="Z178" s="144" t="str">
        <x:f>IF(Y178="No","Excluded from final analysis: AMG performance model outside the predefined C300 candidate category.","")</x:f>
      </x:c>
    </x:row>
    <x:row r="179">
      <x:c r="A179" s="129" t="str">
        <x:v>G70_011</x:v>
      </x:c>
      <x:c r="B179" s="132" t="n">
        <x:v>46233</x:v>
      </x:c>
      <x:c r="C179" s="129" t="str">
        <x:v>Laval</x:v>
      </x:c>
      <x:c r="D179" s="129" t="str">
        <x:v>Genesis</x:v>
      </x:c>
      <x:c r="E179" s="129" t="str">
        <x:v>G70</x:v>
      </x:c>
      <x:c r="F179" s="129" t="str">
        <x:v>3.3T Sport</x:v>
      </x:c>
      <x:c r="G179" s="135" t="n">
        <x:v>2023</x:v>
      </x:c>
      <x:c r="H179" s="138" t="n">
        <x:v>43968</x:v>
      </x:c>
      <x:c r="I179" s="141" t="n">
        <x:v>24691</x:v>
      </x:c>
      <x:c r="J179" s="129" t="str">
        <x:v>Sedan</x:v>
      </x:c>
      <x:c r="K179" s="129" t="str">
        <x:v>AWD</x:v>
      </x:c>
      <x:c r="L179" s="129" t="str">
        <x:v>3.3L Twin-Turbo V6</x:v>
      </x:c>
      <x:c r="M179" s="129" t="str">
        <x:v>Gasoline</x:v>
      </x:c>
      <x:c r="N179" s="129" t="str">
        <x:v>8-speed Automatic</x:v>
      </x:c>
      <x:c r="O179" s="129" t="str">
        <x:v>Fair Deal</x:v>
      </x:c>
      <x:c r="P179" s="129" t="str">
        <x:v>1st Gen Facelift</x:v>
      </x:c>
      <x:c r="Q179" s="144" t="str">
        <x:v>price includes $520 shipping</x:v>
      </x:c>
      <x:c r="R179" s="129" t="str">
        <x:v>G70 3.3T</x:v>
      </x:c>
      <x:c r="S179" s="129" t="str">
        <x:v>Compact Luxury</x:v>
      </x:c>
      <x:c r="T179" s="147" t="n">
        <x:f>2026-G179</x:f>
        <x:v>3</x:v>
      </x:c>
      <x:c r="U179" s="150" t="n">
        <x:f>IF(T179&gt;0,I179/T179,"")</x:f>
        <x:v>8230.333333333334</x:v>
      </x:c>
      <x:c r="V179" s="129" t="str">
        <x:v>Performance Gasoline</x:v>
      </x:c>
      <x:c r="W179" s="129" t="str">
        <x:v>Yes</x:v>
      </x:c>
      <x:c r="X179" s="129" t="str">
        <x:v>Normal</x:v>
      </x:c>
      <x:c r="Y179" s="129" t="str">
        <x:f>IF(R179="AMG C43","No","Yes")</x:f>
        <x:v>Yes</x:v>
      </x:c>
      <x:c r="Z179" s="144" t="str">
        <x:f>IF(Y179="No","Excluded from final analysis: AMG performance model outside the predefined C300 candidate category.","")</x:f>
      </x:c>
    </x:row>
    <x:row r="180">
      <x:c r="A180" s="129" t="str">
        <x:v>G70_012</x:v>
      </x:c>
      <x:c r="B180" s="132" t="n">
        <x:v>46233</x:v>
      </x:c>
      <x:c r="C180" s="129" t="str">
        <x:v>Markham</x:v>
      </x:c>
      <x:c r="D180" s="129" t="str">
        <x:v>Genesis</x:v>
      </x:c>
      <x:c r="E180" s="129" t="str">
        <x:v>G70</x:v>
      </x:c>
      <x:c r="F180" s="129" t="str">
        <x:v>3.3T Sport</x:v>
      </x:c>
      <x:c r="G180" s="135" t="n">
        <x:v>2025</x:v>
      </x:c>
      <x:c r="H180" s="138" t="n">
        <x:v>46021</x:v>
      </x:c>
      <x:c r="I180" s="141" t="n">
        <x:v>36685</x:v>
      </x:c>
      <x:c r="J180" s="129" t="str">
        <x:v>Sedan</x:v>
      </x:c>
      <x:c r="K180" s="129" t="str">
        <x:v>AWD</x:v>
      </x:c>
      <x:c r="L180" s="129" t="str">
        <x:v>3.3L Twin-Turbo V6</x:v>
      </x:c>
      <x:c r="M180" s="129" t="str">
        <x:v>Gasoline</x:v>
      </x:c>
      <x:c r="N180" s="129" t="str">
        <x:v>8-speed Automatic</x:v>
      </x:c>
      <x:c r="O180" s="129" t="str">
        <x:v>Fair Deal</x:v>
      </x:c>
      <x:c r="P180" s="129" t="str">
        <x:v>1st Gen Facelift</x:v>
      </x:c>
      <x:c r="Q180" s="144" t="str"/>
      <x:c r="R180" s="129" t="str">
        <x:v>G70 3.3T</x:v>
      </x:c>
      <x:c r="S180" s="129" t="str">
        <x:v>Compact Luxury</x:v>
      </x:c>
      <x:c r="T180" s="147" t="n">
        <x:f>2026-G180</x:f>
        <x:v>1</x:v>
      </x:c>
      <x:c r="U180" s="150" t="n">
        <x:f>IF(T180&gt;0,I180/T180,"")</x:f>
        <x:v>36685</x:v>
      </x:c>
      <x:c r="V180" s="129" t="str">
        <x:v>Performance Gasoline</x:v>
      </x:c>
      <x:c r="W180" s="129" t="str">
        <x:v>Yes</x:v>
      </x:c>
      <x:c r="X180" s="129" t="str">
        <x:v>Normal</x:v>
      </x:c>
      <x:c r="Y180" s="129" t="str">
        <x:f>IF(R180="AMG C43","No","Yes")</x:f>
        <x:v>Yes</x:v>
      </x:c>
      <x:c r="Z180" s="144" t="str">
        <x:f>IF(Y180="No","Excluded from final analysis: AMG performance model outside the predefined C300 candidate category.","")</x:f>
      </x:c>
    </x:row>
    <x:row r="181">
      <x:c r="A181" s="129" t="str">
        <x:v>G70_013</x:v>
      </x:c>
      <x:c r="B181" s="132" t="n">
        <x:v>46233</x:v>
      </x:c>
      <x:c r="C181" s="129" t="str">
        <x:v>Not recorded</x:v>
      </x:c>
      <x:c r="D181" s="129" t="str">
        <x:v>Genesis</x:v>
      </x:c>
      <x:c r="E181" s="129" t="str">
        <x:v>G70</x:v>
      </x:c>
      <x:c r="F181" s="129" t="str">
        <x:v>3.3T Sport</x:v>
      </x:c>
      <x:c r="G181" s="135" t="n">
        <x:v>2023</x:v>
      </x:c>
      <x:c r="H181" s="138" t="n">
        <x:v>43190</x:v>
      </x:c>
      <x:c r="I181" s="141" t="n">
        <x:v>13310</x:v>
      </x:c>
      <x:c r="J181" s="129" t="str">
        <x:v>Sedan</x:v>
      </x:c>
      <x:c r="K181" s="129" t="str">
        <x:v>AWD</x:v>
      </x:c>
      <x:c r="L181" s="129" t="str">
        <x:v>3.3L Twin-Turbo V6</x:v>
      </x:c>
      <x:c r="M181" s="129" t="str">
        <x:v>Gasoline</x:v>
      </x:c>
      <x:c r="N181" s="129" t="str">
        <x:v>8-speed Automatic</x:v>
      </x:c>
      <x:c r="O181" s="129" t="str">
        <x:v>Fair Deal</x:v>
      </x:c>
      <x:c r="P181" s="129" t="str">
        <x:v>1st Gen Facelift</x:v>
      </x:c>
      <x:c r="Q181" s="144" t="str">
        <x:v>low mileage</x:v>
      </x:c>
      <x:c r="R181" s="129" t="str">
        <x:v>G70 3.3T</x:v>
      </x:c>
      <x:c r="S181" s="129" t="str">
        <x:v>Compact Luxury</x:v>
      </x:c>
      <x:c r="T181" s="147" t="n">
        <x:f>2026-G181</x:f>
        <x:v>3</x:v>
      </x:c>
      <x:c r="U181" s="150" t="n">
        <x:f>IF(T181&gt;0,I181/T181,"")</x:f>
        <x:v>4436.666666666667</x:v>
      </x:c>
      <x:c r="V181" s="129" t="str">
        <x:v>Performance Gasoline</x:v>
      </x:c>
      <x:c r="W181" s="129" t="str">
        <x:v>Yes</x:v>
      </x:c>
      <x:c r="X181" s="129" t="str">
        <x:v>Normal</x:v>
      </x:c>
      <x:c r="Y181" s="129" t="str">
        <x:f>IF(R181="AMG C43","No","Yes")</x:f>
        <x:v>Yes</x:v>
      </x:c>
      <x:c r="Z181" s="144" t="str">
        <x:f>IF(Y181="No","Excluded from final analysis: AMG performance model outside the predefined C300 candidate category.","")</x:f>
      </x:c>
    </x:row>
    <x:row r="182">
      <x:c r="A182" s="129" t="str">
        <x:v>G70_014</x:v>
      </x:c>
      <x:c r="B182" s="132" t="n">
        <x:v>46233</x:v>
      </x:c>
      <x:c r="C182" s="129" t="str">
        <x:v>Toronto</x:v>
      </x:c>
      <x:c r="D182" s="129" t="str">
        <x:v>Genesis</x:v>
      </x:c>
      <x:c r="E182" s="129" t="str">
        <x:v>G70</x:v>
      </x:c>
      <x:c r="F182" s="129" t="str">
        <x:v>3.3T Advanced</x:v>
      </x:c>
      <x:c r="G182" s="135" t="n">
        <x:v>2022</x:v>
      </x:c>
      <x:c r="H182" s="138" t="n">
        <x:v>27998</x:v>
      </x:c>
      <x:c r="I182" s="141" t="n">
        <x:v>111157</x:v>
      </x:c>
      <x:c r="J182" s="129" t="str">
        <x:v>Sedan</x:v>
      </x:c>
      <x:c r="K182" s="129" t="str">
        <x:v>AWD</x:v>
      </x:c>
      <x:c r="L182" s="129" t="str">
        <x:v>3.3L Twin-Turbo V6</x:v>
      </x:c>
      <x:c r="M182" s="129" t="str">
        <x:v>Gasoline</x:v>
      </x:c>
      <x:c r="N182" s="129" t="str">
        <x:v>8-speed Automatic</x:v>
      </x:c>
      <x:c r="O182" s="129" t="str">
        <x:v>Fair Deal</x:v>
      </x:c>
      <x:c r="P182" s="129" t="str">
        <x:v>1st Gen Facelift</x:v>
      </x:c>
      <x:c r="Q182" s="144" t="str">
        <x:v>high mileage</x:v>
      </x:c>
      <x:c r="R182" s="129" t="str">
        <x:v>G70 3.3T</x:v>
      </x:c>
      <x:c r="S182" s="129" t="str">
        <x:v>Compact Luxury</x:v>
      </x:c>
      <x:c r="T182" s="147" t="n">
        <x:f>2026-G182</x:f>
        <x:v>4</x:v>
      </x:c>
      <x:c r="U182" s="150" t="n">
        <x:f>IF(T182&gt;0,I182/T182,"")</x:f>
        <x:v>27789.25</x:v>
      </x:c>
      <x:c r="V182" s="129" t="str">
        <x:v>Performance Gasoline</x:v>
      </x:c>
      <x:c r="W182" s="129" t="str">
        <x:v>Yes</x:v>
      </x:c>
      <x:c r="X182" s="129" t="str">
        <x:v>Normal</x:v>
      </x:c>
      <x:c r="Y182" s="129" t="str">
        <x:f>IF(R182="AMG C43","No","Yes")</x:f>
        <x:v>Yes</x:v>
      </x:c>
      <x:c r="Z182" s="144" t="str">
        <x:f>IF(Y182="No","Excluded from final analysis: AMG performance model outside the predefined C300 candidate category.","")</x:f>
      </x:c>
    </x:row>
    <x:row r="183">
      <x:c r="A183" s="129" t="str">
        <x:v>G70_015</x:v>
      </x:c>
      <x:c r="B183" s="132" t="n">
        <x:v>46233</x:v>
      </x:c>
      <x:c r="C183" s="129" t="str">
        <x:v>Mississauga</x:v>
      </x:c>
      <x:c r="D183" s="129" t="str">
        <x:v>Genesis</x:v>
      </x:c>
      <x:c r="E183" s="129" t="str">
        <x:v>G70</x:v>
      </x:c>
      <x:c r="F183" s="129" t="str">
        <x:v>2.5T Standard</x:v>
      </x:c>
      <x:c r="G183" s="135" t="n">
        <x:v>2024</x:v>
      </x:c>
      <x:c r="H183" s="138" t="n">
        <x:v>36821</x:v>
      </x:c>
      <x:c r="I183" s="141" t="n">
        <x:v>41791</x:v>
      </x:c>
      <x:c r="J183" s="129" t="str">
        <x:v>Sedan</x:v>
      </x:c>
      <x:c r="K183" s="129" t="str">
        <x:v>RWD</x:v>
      </x:c>
      <x:c r="L183" s="129" t="str">
        <x:v>2.5L Turbo I4</x:v>
      </x:c>
      <x:c r="M183" s="129" t="str">
        <x:v>Gasoline</x:v>
      </x:c>
      <x:c r="N183" s="129" t="str">
        <x:v>8-speed Automatic</x:v>
      </x:c>
      <x:c r="O183" s="129" t="str">
        <x:v>Fair Deal</x:v>
      </x:c>
      <x:c r="P183" s="129" t="str">
        <x:v>1st Gen Facelift</x:v>
      </x:c>
      <x:c r="Q183" s="144" t="str"/>
      <x:c r="R183" s="129" t="str">
        <x:v>G70 2.5T</x:v>
      </x:c>
      <x:c r="S183" s="129" t="str">
        <x:v>Compact Luxury</x:v>
      </x:c>
      <x:c r="T183" s="147" t="n">
        <x:f>2026-G183</x:f>
        <x:v>2</x:v>
      </x:c>
      <x:c r="U183" s="150" t="n">
        <x:f>IF(T183&gt;0,I183/T183,"")</x:f>
        <x:v>20895.5</x:v>
      </x:c>
      <x:c r="V183" s="129" t="str">
        <x:v>Regular Gasoline</x:v>
      </x:c>
      <x:c r="W183" s="129" t="str">
        <x:v>No</x:v>
      </x:c>
      <x:c r="X183" s="129" t="str">
        <x:v>Normal</x:v>
      </x:c>
      <x:c r="Y183" s="129" t="str">
        <x:f>IF(R183="AMG C43","No","Yes")</x:f>
        <x:v>Yes</x:v>
      </x:c>
      <x:c r="Z183" s="144" t="str">
        <x:f>IF(Y183="No","Excluded from final analysis: AMG performance model outside the predefined C300 candidate category.","")</x:f>
      </x:c>
    </x:row>
    <x:row r="184">
      <x:c r="A184" s="129" t="str">
        <x:v>G70_016</x:v>
      </x:c>
      <x:c r="B184" s="132" t="n">
        <x:v>46233</x:v>
      </x:c>
      <x:c r="C184" s="129" t="str">
        <x:v>Markham</x:v>
      </x:c>
      <x:c r="D184" s="129" t="str">
        <x:v>Genesis</x:v>
      </x:c>
      <x:c r="E184" s="129" t="str">
        <x:v>G70</x:v>
      </x:c>
      <x:c r="F184" s="129" t="str">
        <x:v>2.5T Prestige</x:v>
      </x:c>
      <x:c r="G184" s="135" t="n">
        <x:v>2026</x:v>
      </x:c>
      <x:c r="H184" s="138" t="n">
        <x:v>50021</x:v>
      </x:c>
      <x:c r="I184" s="141" t="n">
        <x:v>9945</x:v>
      </x:c>
      <x:c r="J184" s="129" t="str">
        <x:v>Sedan</x:v>
      </x:c>
      <x:c r="K184" s="129" t="str">
        <x:v>AWD</x:v>
      </x:c>
      <x:c r="L184" s="129" t="str">
        <x:v>2.5L Turbo I4</x:v>
      </x:c>
      <x:c r="M184" s="129" t="str">
        <x:v>Gasoline</x:v>
      </x:c>
      <x:c r="N184" s="129" t="str">
        <x:v>8-speed Automatic</x:v>
      </x:c>
      <x:c r="O184" s="129" t="str">
        <x:v>Fair Deal</x:v>
      </x:c>
      <x:c r="P184" s="129" t="str">
        <x:v>1st Gen Facelift</x:v>
      </x:c>
      <x:c r="Q184" s="144" t="str">
        <x:v>low mileage</x:v>
      </x:c>
      <x:c r="R184" s="129" t="str">
        <x:v>G70 2.5T</x:v>
      </x:c>
      <x:c r="S184" s="129" t="str">
        <x:v>Compact Luxury</x:v>
      </x:c>
      <x:c r="T184" s="147" t="n">
        <x:f>2026-G184</x:f>
        <x:v>0</x:v>
      </x:c>
      <x:c r="U184" s="150" t="str">
        <x:f>IF(T184&gt;0,I184/T184,"")</x:f>
      </x:c>
      <x:c r="V184" s="129" t="str">
        <x:v>Regular Gasoline</x:v>
      </x:c>
      <x:c r="W184" s="129" t="str">
        <x:v>No</x:v>
      </x:c>
      <x:c r="X184" s="129" t="str">
        <x:v>Normal</x:v>
      </x:c>
      <x:c r="Y184" s="129" t="str">
        <x:f>IF(R184="AMG C43","No","Yes")</x:f>
        <x:v>Yes</x:v>
      </x:c>
      <x:c r="Z184" s="144" t="str">
        <x:f>IF(Y184="No","Excluded from final analysis: AMG performance model outside the predefined C300 candidate category.","")</x:f>
      </x:c>
    </x:row>
    <x:row r="185">
      <x:c r="A185" s="129" t="str">
        <x:v>G70_017</x:v>
      </x:c>
      <x:c r="B185" s="132" t="n">
        <x:v>46233</x:v>
      </x:c>
      <x:c r="C185" s="129" t="str">
        <x:v>Oakville</x:v>
      </x:c>
      <x:c r="D185" s="129" t="str">
        <x:v>Genesis</x:v>
      </x:c>
      <x:c r="E185" s="129" t="str">
        <x:v>G70</x:v>
      </x:c>
      <x:c r="F185" s="129" t="str">
        <x:v>3.3T Sport</x:v>
      </x:c>
      <x:c r="G185" s="135" t="n">
        <x:v>2023</x:v>
      </x:c>
      <x:c r="H185" s="138" t="n">
        <x:v>40999</x:v>
      </x:c>
      <x:c r="I185" s="141" t="n">
        <x:v>37075</x:v>
      </x:c>
      <x:c r="J185" s="129" t="str">
        <x:v>Sedan</x:v>
      </x:c>
      <x:c r="K185" s="129" t="str">
        <x:v>AWD</x:v>
      </x:c>
      <x:c r="L185" s="129" t="str">
        <x:v>3.3L Twin-Turbo V6</x:v>
      </x:c>
      <x:c r="M185" s="129" t="str">
        <x:v>Gasoline</x:v>
      </x:c>
      <x:c r="N185" s="129" t="str">
        <x:v>8-speed Automatic</x:v>
      </x:c>
      <x:c r="O185" s="129" t="str">
        <x:v>Fair Deal</x:v>
      </x:c>
      <x:c r="P185" s="129" t="str">
        <x:v>1st Gen Facelift</x:v>
      </x:c>
      <x:c r="Q185" s="144" t="str"/>
      <x:c r="R185" s="129" t="str">
        <x:v>G70 3.3T</x:v>
      </x:c>
      <x:c r="S185" s="129" t="str">
        <x:v>Compact Luxury</x:v>
      </x:c>
      <x:c r="T185" s="147" t="n">
        <x:f>2026-G185</x:f>
        <x:v>3</x:v>
      </x:c>
      <x:c r="U185" s="150" t="n">
        <x:f>IF(T185&gt;0,I185/T185,"")</x:f>
        <x:v>12358.333333333334</x:v>
      </x:c>
      <x:c r="V185" s="129" t="str">
        <x:v>Performance Gasoline</x:v>
      </x:c>
      <x:c r="W185" s="129" t="str">
        <x:v>Yes</x:v>
      </x:c>
      <x:c r="X185" s="129" t="str">
        <x:v>Normal</x:v>
      </x:c>
      <x:c r="Y185" s="129" t="str">
        <x:f>IF(R185="AMG C43","No","Yes")</x:f>
        <x:v>Yes</x:v>
      </x:c>
      <x:c r="Z185" s="144" t="str">
        <x:f>IF(Y185="No","Excluded from final analysis: AMG performance model outside the predefined C300 candidate category.","")</x:f>
      </x:c>
    </x:row>
    <x:row r="186">
      <x:c r="A186" s="129" t="str">
        <x:v>G70_018</x:v>
      </x:c>
      <x:c r="B186" s="132" t="n">
        <x:v>46233</x:v>
      </x:c>
      <x:c r="C186" s="129" t="str">
        <x:v>Not recorded</x:v>
      </x:c>
      <x:c r="D186" s="129" t="str">
        <x:v>Genesis</x:v>
      </x:c>
      <x:c r="E186" s="129" t="str">
        <x:v>G70</x:v>
      </x:c>
      <x:c r="F186" s="129" t="str">
        <x:v>3.3T Sport</x:v>
      </x:c>
      <x:c r="G186" s="135" t="n">
        <x:v>2022</x:v>
      </x:c>
      <x:c r="H186" s="138" t="n">
        <x:v>34790</x:v>
      </x:c>
      <x:c r="I186" s="141" t="n">
        <x:v>46219</x:v>
      </x:c>
      <x:c r="J186" s="129" t="str">
        <x:v>Sedan</x:v>
      </x:c>
      <x:c r="K186" s="129" t="str">
        <x:v>AWD</x:v>
      </x:c>
      <x:c r="L186" s="129" t="str">
        <x:v>3.3L Twin-Turbo V6</x:v>
      </x:c>
      <x:c r="M186" s="129" t="str">
        <x:v>Gasoline</x:v>
      </x:c>
      <x:c r="N186" s="129" t="str">
        <x:v>8-speed Automatic</x:v>
      </x:c>
      <x:c r="O186" s="129" t="str">
        <x:v>Fair Deal</x:v>
      </x:c>
      <x:c r="P186" s="129" t="str">
        <x:v>1st Gen Facelift</x:v>
      </x:c>
      <x:c r="Q186" s="144" t="str"/>
      <x:c r="R186" s="129" t="str">
        <x:v>G70 3.3T</x:v>
      </x:c>
      <x:c r="S186" s="129" t="str">
        <x:v>Compact Luxury</x:v>
      </x:c>
      <x:c r="T186" s="147" t="n">
        <x:f>2026-G186</x:f>
        <x:v>4</x:v>
      </x:c>
      <x:c r="U186" s="150" t="n">
        <x:f>IF(T186&gt;0,I186/T186,"")</x:f>
        <x:v>11554.75</x:v>
      </x:c>
      <x:c r="V186" s="129" t="str">
        <x:v>Performance Gasoline</x:v>
      </x:c>
      <x:c r="W186" s="129" t="str">
        <x:v>Yes</x:v>
      </x:c>
      <x:c r="X186" s="129" t="str">
        <x:v>Normal</x:v>
      </x:c>
      <x:c r="Y186" s="129" t="str">
        <x:f>IF(R186="AMG C43","No","Yes")</x:f>
        <x:v>Yes</x:v>
      </x:c>
      <x:c r="Z186" s="144" t="str">
        <x:f>IF(Y186="No","Excluded from final analysis: AMG performance model outside the predefined C300 candidate category.","")</x:f>
      </x:c>
    </x:row>
    <x:row r="187">
      <x:c r="A187" s="129" t="str">
        <x:v>G70_019</x:v>
      </x:c>
      <x:c r="B187" s="132" t="n">
        <x:v>46233</x:v>
      </x:c>
      <x:c r="C187" s="129" t="str">
        <x:v>Not recorded</x:v>
      </x:c>
      <x:c r="D187" s="129" t="str">
        <x:v>Genesis</x:v>
      </x:c>
      <x:c r="E187" s="129" t="str">
        <x:v>G70</x:v>
      </x:c>
      <x:c r="F187" s="129" t="str">
        <x:v>2.0T Select</x:v>
      </x:c>
      <x:c r="G187" s="135" t="n">
        <x:v>2022</x:v>
      </x:c>
      <x:c r="H187" s="138" t="n">
        <x:v>29890</x:v>
      </x:c>
      <x:c r="I187" s="141" t="n">
        <x:v>60274</x:v>
      </x:c>
      <x:c r="J187" s="129" t="str">
        <x:v>Sedan</x:v>
      </x:c>
      <x:c r="K187" s="129" t="str">
        <x:v>AWD</x:v>
      </x:c>
      <x:c r="L187" s="129" t="str">
        <x:v>2.0L Turbo I4</x:v>
      </x:c>
      <x:c r="M187" s="129" t="str">
        <x:v>Gasoline</x:v>
      </x:c>
      <x:c r="N187" s="129" t="str">
        <x:v>8-speed Automatic</x:v>
      </x:c>
      <x:c r="O187" s="129" t="str">
        <x:v>No Rating</x:v>
      </x:c>
      <x:c r="P187" s="129" t="str">
        <x:v>1st Gen Facelift</x:v>
      </x:c>
      <x:c r="Q187" s="144" t="str"/>
      <x:c r="R187" s="129" t="str">
        <x:v>G70 2.0T</x:v>
      </x:c>
      <x:c r="S187" s="129" t="str">
        <x:v>Compact Luxury</x:v>
      </x:c>
      <x:c r="T187" s="147" t="n">
        <x:f>2026-G187</x:f>
        <x:v>4</x:v>
      </x:c>
      <x:c r="U187" s="150" t="n">
        <x:f>IF(T187&gt;0,I187/T187,"")</x:f>
        <x:v>15068.5</x:v>
      </x:c>
      <x:c r="V187" s="129" t="str">
        <x:v>Regular Gasoline</x:v>
      </x:c>
      <x:c r="W187" s="129" t="str">
        <x:v>No</x:v>
      </x:c>
      <x:c r="X187" s="129" t="str">
        <x:v>Normal</x:v>
      </x:c>
      <x:c r="Y187" s="129" t="str">
        <x:f>IF(R187="AMG C43","No","Yes")</x:f>
        <x:v>Yes</x:v>
      </x:c>
      <x:c r="Z187" s="144" t="str">
        <x:f>IF(Y187="No","Excluded from final analysis: AMG performance model outside the predefined C300 candidate category.","")</x:f>
      </x:c>
    </x:row>
    <x:row r="188">
      <x:c r="A188" s="129" t="str">
        <x:v>G70_020</x:v>
      </x:c>
      <x:c r="B188" s="132" t="n">
        <x:v>46233</x:v>
      </x:c>
      <x:c r="C188" s="129" t="str">
        <x:v>Burlington</x:v>
      </x:c>
      <x:c r="D188" s="129" t="str">
        <x:v>Genesis</x:v>
      </x:c>
      <x:c r="E188" s="129" t="str">
        <x:v>G70</x:v>
      </x:c>
      <x:c r="F188" s="129" t="str">
        <x:v>3.3T Sport</x:v>
      </x:c>
      <x:c r="G188" s="135" t="n">
        <x:v>2023</x:v>
      </x:c>
      <x:c r="H188" s="138" t="n">
        <x:v>26995</x:v>
      </x:c>
      <x:c r="I188" s="141" t="n">
        <x:v>101230</x:v>
      </x:c>
      <x:c r="J188" s="129" t="str">
        <x:v>Sedan</x:v>
      </x:c>
      <x:c r="K188" s="129" t="str">
        <x:v>AWD</x:v>
      </x:c>
      <x:c r="L188" s="129" t="str">
        <x:v>3.3L Twin-Turbo V6</x:v>
      </x:c>
      <x:c r="M188" s="129" t="str">
        <x:v>Gasoline</x:v>
      </x:c>
      <x:c r="N188" s="129" t="str">
        <x:v>8-speed Automatic</x:v>
      </x:c>
      <x:c r="O188" s="129" t="str">
        <x:v>Uncertain</x:v>
      </x:c>
      <x:c r="P188" s="129" t="str">
        <x:v>1st Gen Facelift</x:v>
      </x:c>
      <x:c r="Q188" s="144" t="str">
        <x:v>high mileage</x:v>
      </x:c>
      <x:c r="R188" s="129" t="str">
        <x:v>G70 3.3T</x:v>
      </x:c>
      <x:c r="S188" s="129" t="str">
        <x:v>Compact Luxury</x:v>
      </x:c>
      <x:c r="T188" s="147" t="n">
        <x:f>2026-G188</x:f>
        <x:v>3</x:v>
      </x:c>
      <x:c r="U188" s="150" t="n">
        <x:f>IF(T188&gt;0,I188/T188,"")</x:f>
        <x:v>33743.333333333336</x:v>
      </x:c>
      <x:c r="V188" s="129" t="str">
        <x:v>Performance Gasoline</x:v>
      </x:c>
      <x:c r="W188" s="129" t="str">
        <x:v>Yes</x:v>
      </x:c>
      <x:c r="X188" s="129" t="str">
        <x:v>Normal</x:v>
      </x:c>
      <x:c r="Y188" s="129" t="str">
        <x:f>IF(R188="AMG C43","No","Yes")</x:f>
        <x:v>Yes</x:v>
      </x:c>
      <x:c r="Z188" s="144" t="str">
        <x:f>IF(Y188="No","Excluded from final analysis: AMG performance model outside the predefined C300 candidate category.","")</x:f>
      </x:c>
    </x:row>
    <x:row r="189">
      <x:c r="A189" s="129" t="str">
        <x:v>G70_021</x:v>
      </x:c>
      <x:c r="B189" s="132" t="n">
        <x:v>46233</x:v>
      </x:c>
      <x:c r="C189" s="129" t="str">
        <x:v>Winnipeg</x:v>
      </x:c>
      <x:c r="D189" s="129" t="str">
        <x:v>Genesis</x:v>
      </x:c>
      <x:c r="E189" s="129" t="str">
        <x:v>G70</x:v>
      </x:c>
      <x:c r="F189" s="129" t="str">
        <x:v>3.3T Sport</x:v>
      </x:c>
      <x:c r="G189" s="135" t="n">
        <x:v>2023</x:v>
      </x:c>
      <x:c r="H189" s="138" t="n">
        <x:v>43755</x:v>
      </x:c>
      <x:c r="I189" s="141" t="n">
        <x:v>64562</x:v>
      </x:c>
      <x:c r="J189" s="129" t="str">
        <x:v>Sedan</x:v>
      </x:c>
      <x:c r="K189" s="129" t="str">
        <x:v>AWD</x:v>
      </x:c>
      <x:c r="L189" s="129" t="str">
        <x:v>3.3L Twin-Turbo V6</x:v>
      </x:c>
      <x:c r="M189" s="129" t="str">
        <x:v>Gasoline</x:v>
      </x:c>
      <x:c r="N189" s="129" t="str">
        <x:v>8-speed Automatic</x:v>
      </x:c>
      <x:c r="O189" s="129" t="str">
        <x:v>Uncertain</x:v>
      </x:c>
      <x:c r="P189" s="129" t="str">
        <x:v>1st Gen Facelift</x:v>
      </x:c>
      <x:c r="Q189" s="144" t="str">
        <x:v>price includes $3,755 shipping</x:v>
      </x:c>
      <x:c r="R189" s="129" t="str">
        <x:v>G70 3.3T</x:v>
      </x:c>
      <x:c r="S189" s="129" t="str">
        <x:v>Compact Luxury</x:v>
      </x:c>
      <x:c r="T189" s="147" t="n">
        <x:f>2026-G189</x:f>
        <x:v>3</x:v>
      </x:c>
      <x:c r="U189" s="150" t="n">
        <x:f>IF(T189&gt;0,I189/T189,"")</x:f>
        <x:v>21520.666666666668</x:v>
      </x:c>
      <x:c r="V189" s="129" t="str">
        <x:v>Performance Gasoline</x:v>
      </x:c>
      <x:c r="W189" s="129" t="str">
        <x:v>Yes</x:v>
      </x:c>
      <x:c r="X189" s="129" t="str">
        <x:v>Normal</x:v>
      </x:c>
      <x:c r="Y189" s="129" t="str">
        <x:f>IF(R189="AMG C43","No","Yes")</x:f>
        <x:v>Yes</x:v>
      </x:c>
      <x:c r="Z189" s="144" t="str">
        <x:f>IF(Y189="No","Excluded from final analysis: AMG performance model outside the predefined C300 candidate category.","")</x:f>
      </x:c>
    </x:row>
    <x:row r="190">
      <x:c r="A190" s="129" t="str">
        <x:v>MBCC_001</x:v>
      </x:c>
      <x:c r="B190" s="132" t="n">
        <x:v>46233</x:v>
      </x:c>
      <x:c r="C190" s="129" t="str">
        <x:v>North York</x:v>
      </x:c>
      <x:c r="D190" s="129" t="str">
        <x:v>Mercedes-Benz</x:v>
      </x:c>
      <x:c r="E190" s="129" t="str">
        <x:v>C-Class</x:v>
      </x:c>
      <x:c r="F190" s="129" t="str">
        <x:v>C300 4MATIC</x:v>
      </x:c>
      <x:c r="G190" s="135" t="n">
        <x:v>2022</x:v>
      </x:c>
      <x:c r="H190" s="138" t="n">
        <x:v>37988</x:v>
      </x:c>
      <x:c r="I190" s="141" t="n">
        <x:v>84000</x:v>
      </x:c>
      <x:c r="J190" s="129" t="str">
        <x:v>Sedan</x:v>
      </x:c>
      <x:c r="K190" s="129" t="str">
        <x:v>AWD</x:v>
      </x:c>
      <x:c r="L190" s="129" t="str">
        <x:v>2.0L Turbo I4 Mild Hybrid</x:v>
      </x:c>
      <x:c r="M190" s="129" t="str">
        <x:v>Gasoline Mild Hybrid</x:v>
      </x:c>
      <x:c r="N190" s="129" t="str">
        <x:v>9-speed Automatic</x:v>
      </x:c>
      <x:c r="O190" s="129" t="str">
        <x:v>Fair Deal</x:v>
      </x:c>
      <x:c r="P190" s="129" t="str">
        <x:v>W206</x:v>
      </x:c>
      <x:c r="Q190" s="144" t="str"/>
      <x:c r="R190" s="129" t="str">
        <x:v>C300</x:v>
      </x:c>
      <x:c r="S190" s="129" t="str">
        <x:v>Compact Luxury</x:v>
      </x:c>
      <x:c r="T190" s="147" t="n">
        <x:f>2026-G190</x:f>
        <x:v>4</x:v>
      </x:c>
      <x:c r="U190" s="150" t="n">
        <x:f>IF(T190&gt;0,I190/T190,"")</x:f>
        <x:v>21000</x:v>
      </x:c>
      <x:c r="V190" s="129" t="str">
        <x:v>Hybrid</x:v>
      </x:c>
      <x:c r="W190" s="129" t="str">
        <x:v>No</x:v>
      </x:c>
      <x:c r="X190" s="129" t="str">
        <x:v>Normal</x:v>
      </x:c>
      <x:c r="Y190" s="129" t="str">
        <x:f>IF(R190="AMG C43","No","Yes")</x:f>
        <x:v>Yes</x:v>
      </x:c>
      <x:c r="Z190" s="144" t="str">
        <x:f>IF(Y190="No","Excluded from final analysis: AMG performance model outside the predefined C300 candidate category.","")</x:f>
      </x:c>
    </x:row>
    <x:row r="191">
      <x:c r="A191" s="129" t="str">
        <x:v>MBCC_002</x:v>
      </x:c>
      <x:c r="B191" s="132" t="n">
        <x:v>46233</x:v>
      </x:c>
      <x:c r="C191" s="129" t="str">
        <x:v>Mississauga</x:v>
      </x:c>
      <x:c r="D191" s="129" t="str">
        <x:v>Mercedes-Benz</x:v>
      </x:c>
      <x:c r="E191" s="129" t="str">
        <x:v>C-Class</x:v>
      </x:c>
      <x:c r="F191" s="129" t="str">
        <x:v>C300 4MATIC</x:v>
      </x:c>
      <x:c r="G191" s="135" t="n">
        <x:v>2022</x:v>
      </x:c>
      <x:c r="H191" s="138" t="n">
        <x:v>37370</x:v>
      </x:c>
      <x:c r="I191" s="141" t="n">
        <x:v>76938</x:v>
      </x:c>
      <x:c r="J191" s="129" t="str">
        <x:v>Sedan</x:v>
      </x:c>
      <x:c r="K191" s="129" t="str">
        <x:v>AWD</x:v>
      </x:c>
      <x:c r="L191" s="129" t="str">
        <x:v>2.0L Turbo I4 Mild Hybrid</x:v>
      </x:c>
      <x:c r="M191" s="129" t="str">
        <x:v>Gasoline Mild Hybrid</x:v>
      </x:c>
      <x:c r="N191" s="129" t="str">
        <x:v>9-speed Automatic</x:v>
      </x:c>
      <x:c r="O191" s="129" t="str">
        <x:v>Fair Deal</x:v>
      </x:c>
      <x:c r="P191" s="129" t="str">
        <x:v>W206</x:v>
      </x:c>
      <x:c r="Q191" s="144" t="str">
        <x:v>$2,129 price reduction</x:v>
      </x:c>
      <x:c r="R191" s="129" t="str">
        <x:v>C300</x:v>
      </x:c>
      <x:c r="S191" s="129" t="str">
        <x:v>Compact Luxury</x:v>
      </x:c>
      <x:c r="T191" s="147" t="n">
        <x:f>2026-G191</x:f>
        <x:v>4</x:v>
      </x:c>
      <x:c r="U191" s="150" t="n">
        <x:f>IF(T191&gt;0,I191/T191,"")</x:f>
        <x:v>19234.5</x:v>
      </x:c>
      <x:c r="V191" s="129" t="str">
        <x:v>Hybrid</x:v>
      </x:c>
      <x:c r="W191" s="129" t="str">
        <x:v>No</x:v>
      </x:c>
      <x:c r="X191" s="129" t="str">
        <x:v>Normal</x:v>
      </x:c>
      <x:c r="Y191" s="129" t="str">
        <x:f>IF(R191="AMG C43","No","Yes")</x:f>
        <x:v>Yes</x:v>
      </x:c>
      <x:c r="Z191" s="144" t="str">
        <x:f>IF(Y191="No","Excluded from final analysis: AMG performance model outside the predefined C300 candidate category.","")</x:f>
      </x:c>
    </x:row>
    <x:row r="192">
      <x:c r="A192" s="129" t="str">
        <x:v>MBCC_003</x:v>
      </x:c>
      <x:c r="B192" s="132" t="n">
        <x:v>46233</x:v>
      </x:c>
      <x:c r="C192" s="129" t="str">
        <x:v>Mississauga</x:v>
      </x:c>
      <x:c r="D192" s="129" t="str">
        <x:v>Mercedes-Benz</x:v>
      </x:c>
      <x:c r="E192" s="129" t="str">
        <x:v>C-Class</x:v>
      </x:c>
      <x:c r="F192" s="129" t="str">
        <x:v>C300 4MATIC</x:v>
      </x:c>
      <x:c r="G192" s="135" t="n">
        <x:v>2022</x:v>
      </x:c>
      <x:c r="H192" s="138" t="n">
        <x:v>39995</x:v>
      </x:c>
      <x:c r="I192" s="141" t="n">
        <x:v>27058</x:v>
      </x:c>
      <x:c r="J192" s="129" t="str">
        <x:v>Sedan</x:v>
      </x:c>
      <x:c r="K192" s="129" t="str">
        <x:v>AWD</x:v>
      </x:c>
      <x:c r="L192" s="129" t="str">
        <x:v>2.0L Turbo I4 Mild Hybrid</x:v>
      </x:c>
      <x:c r="M192" s="129" t="str">
        <x:v>Gasoline Mild Hybrid</x:v>
      </x:c>
      <x:c r="N192" s="129" t="str">
        <x:v>9-speed Automatic</x:v>
      </x:c>
      <x:c r="O192" s="129" t="str">
        <x:v>Great Deal</x:v>
      </x:c>
      <x:c r="P192" s="129" t="str">
        <x:v>W206</x:v>
      </x:c>
      <x:c r="Q192" s="144" t="str"/>
      <x:c r="R192" s="129" t="str">
        <x:v>C300</x:v>
      </x:c>
      <x:c r="S192" s="129" t="str">
        <x:v>Compact Luxury</x:v>
      </x:c>
      <x:c r="T192" s="147" t="n">
        <x:f>2026-G192</x:f>
        <x:v>4</x:v>
      </x:c>
      <x:c r="U192" s="150" t="n">
        <x:f>IF(T192&gt;0,I192/T192,"")</x:f>
        <x:v>6764.5</x:v>
      </x:c>
      <x:c r="V192" s="129" t="str">
        <x:v>Hybrid</x:v>
      </x:c>
      <x:c r="W192" s="129" t="str">
        <x:v>No</x:v>
      </x:c>
      <x:c r="X192" s="129" t="str">
        <x:v>Normal</x:v>
      </x:c>
      <x:c r="Y192" s="129" t="str">
        <x:f>IF(R192="AMG C43","No","Yes")</x:f>
        <x:v>Yes</x:v>
      </x:c>
      <x:c r="Z192" s="144" t="str">
        <x:f>IF(Y192="No","Excluded from final analysis: AMG performance model outside the predefined C300 candidate category.","")</x:f>
      </x:c>
    </x:row>
    <x:row r="193">
      <x:c r="A193" s="129" t="str">
        <x:v>MBCC_004</x:v>
      </x:c>
      <x:c r="B193" s="132" t="n">
        <x:v>46233</x:v>
      </x:c>
      <x:c r="C193" s="129" t="str">
        <x:v>Kitchener</x:v>
      </x:c>
      <x:c r="D193" s="129" t="str">
        <x:v>Mercedes-Benz</x:v>
      </x:c>
      <x:c r="E193" s="129" t="str">
        <x:v>C-Class</x:v>
      </x:c>
      <x:c r="F193" s="129" t="str">
        <x:v>C300 4MATIC</x:v>
      </x:c>
      <x:c r="G193" s="135" t="n">
        <x:v>2024</x:v>
      </x:c>
      <x:c r="H193" s="138" t="n">
        <x:v>39995</x:v>
      </x:c>
      <x:c r="I193" s="141" t="n">
        <x:v>52356</x:v>
      </x:c>
      <x:c r="J193" s="129" t="str">
        <x:v>Sedan</x:v>
      </x:c>
      <x:c r="K193" s="129" t="str">
        <x:v>AWD</x:v>
      </x:c>
      <x:c r="L193" s="129" t="str">
        <x:v>2.0L Turbo I4 Mild Hybrid</x:v>
      </x:c>
      <x:c r="M193" s="129" t="str">
        <x:v>Gasoline Mild Hybrid</x:v>
      </x:c>
      <x:c r="N193" s="129" t="str">
        <x:v>9-speed Automatic</x:v>
      </x:c>
      <x:c r="O193" s="129" t="str">
        <x:v>Great Deal</x:v>
      </x:c>
      <x:c r="P193" s="129" t="str">
        <x:v>W206</x:v>
      </x:c>
      <x:c r="Q193" s="144" t="str"/>
      <x:c r="R193" s="129" t="str">
        <x:v>C300</x:v>
      </x:c>
      <x:c r="S193" s="129" t="str">
        <x:v>Compact Luxury</x:v>
      </x:c>
      <x:c r="T193" s="147" t="n">
        <x:f>2026-G193</x:f>
        <x:v>2</x:v>
      </x:c>
      <x:c r="U193" s="150" t="n">
        <x:f>IF(T193&gt;0,I193/T193,"")</x:f>
        <x:v>26178</x:v>
      </x:c>
      <x:c r="V193" s="129" t="str">
        <x:v>Hybrid</x:v>
      </x:c>
      <x:c r="W193" s="129" t="str">
        <x:v>No</x:v>
      </x:c>
      <x:c r="X193" s="129" t="str">
        <x:v>Normal</x:v>
      </x:c>
      <x:c r="Y193" s="129" t="str">
        <x:f>IF(R193="AMG C43","No","Yes")</x:f>
        <x:v>Yes</x:v>
      </x:c>
      <x:c r="Z193" s="144" t="str">
        <x:f>IF(Y193="No","Excluded from final analysis: AMG performance model outside the predefined C300 candidate category.","")</x:f>
      </x:c>
    </x:row>
    <x:row r="194">
      <x:c r="A194" s="129" t="str">
        <x:v>MBCC_005</x:v>
      </x:c>
      <x:c r="B194" s="132" t="n">
        <x:v>46233</x:v>
      </x:c>
      <x:c r="C194" s="129" t="str">
        <x:v>Mississauga</x:v>
      </x:c>
      <x:c r="D194" s="129" t="str">
        <x:v>Mercedes-Benz</x:v>
      </x:c>
      <x:c r="E194" s="129" t="str">
        <x:v>C-Class</x:v>
      </x:c>
      <x:c r="F194" s="129" t="str">
        <x:v>C300 4MATIC</x:v>
      </x:c>
      <x:c r="G194" s="135" t="n">
        <x:v>2024</x:v>
      </x:c>
      <x:c r="H194" s="138" t="n">
        <x:v>40995</x:v>
      </x:c>
      <x:c r="I194" s="141" t="n">
        <x:v>44189</x:v>
      </x:c>
      <x:c r="J194" s="129" t="str">
        <x:v>Sedan</x:v>
      </x:c>
      <x:c r="K194" s="129" t="str">
        <x:v>AWD</x:v>
      </x:c>
      <x:c r="L194" s="129" t="str">
        <x:v>2.0L Turbo I4 Mild Hybrid</x:v>
      </x:c>
      <x:c r="M194" s="129" t="str">
        <x:v>Gasoline Mild Hybrid</x:v>
      </x:c>
      <x:c r="N194" s="129" t="str">
        <x:v>9-speed Automatic</x:v>
      </x:c>
      <x:c r="O194" s="129" t="str">
        <x:v>Great Deal</x:v>
      </x:c>
      <x:c r="P194" s="129" t="str">
        <x:v>W206</x:v>
      </x:c>
      <x:c r="Q194" s="144" t="str"/>
      <x:c r="R194" s="129" t="str">
        <x:v>C300</x:v>
      </x:c>
      <x:c r="S194" s="129" t="str">
        <x:v>Compact Luxury</x:v>
      </x:c>
      <x:c r="T194" s="147" t="n">
        <x:f>2026-G194</x:f>
        <x:v>2</x:v>
      </x:c>
      <x:c r="U194" s="150" t="n">
        <x:f>IF(T194&gt;0,I194/T194,"")</x:f>
        <x:v>22094.5</x:v>
      </x:c>
      <x:c r="V194" s="129" t="str">
        <x:v>Hybrid</x:v>
      </x:c>
      <x:c r="W194" s="129" t="str">
        <x:v>No</x:v>
      </x:c>
      <x:c r="X194" s="129" t="str">
        <x:v>Normal</x:v>
      </x:c>
      <x:c r="Y194" s="129" t="str">
        <x:f>IF(R194="AMG C43","No","Yes")</x:f>
        <x:v>Yes</x:v>
      </x:c>
      <x:c r="Z194" s="144" t="str">
        <x:f>IF(Y194="No","Excluded from final analysis: AMG performance model outside the predefined C300 candidate category.","")</x:f>
      </x:c>
    </x:row>
    <x:row r="195">
      <x:c r="A195" s="129" t="str">
        <x:v>MBCC_006</x:v>
      </x:c>
      <x:c r="B195" s="132" t="n">
        <x:v>46233</x:v>
      </x:c>
      <x:c r="C195" s="129" t="str">
        <x:v>Toronto</x:v>
      </x:c>
      <x:c r="D195" s="129" t="str">
        <x:v>Mercedes-Benz</x:v>
      </x:c>
      <x:c r="E195" s="129" t="str">
        <x:v>C-Class</x:v>
      </x:c>
      <x:c r="F195" s="129" t="str">
        <x:v>C300 4MATIC</x:v>
      </x:c>
      <x:c r="G195" s="135" t="n">
        <x:v>2023</x:v>
      </x:c>
      <x:c r="H195" s="138" t="n">
        <x:v>38888</x:v>
      </x:c>
      <x:c r="I195" s="141" t="n">
        <x:v>48240</x:v>
      </x:c>
      <x:c r="J195" s="129" t="str">
        <x:v>Sedan</x:v>
      </x:c>
      <x:c r="K195" s="129" t="str">
        <x:v>AWD</x:v>
      </x:c>
      <x:c r="L195" s="129" t="str">
        <x:v>2.0L Turbo I4 Mild Hybrid</x:v>
      </x:c>
      <x:c r="M195" s="129" t="str">
        <x:v>Gasoline Mild Hybrid</x:v>
      </x:c>
      <x:c r="N195" s="129" t="str">
        <x:v>9-speed Automatic</x:v>
      </x:c>
      <x:c r="O195" s="129" t="str">
        <x:v>Great Deal</x:v>
      </x:c>
      <x:c r="P195" s="129" t="str">
        <x:v>W206</x:v>
      </x:c>
      <x:c r="Q195" s="144" t="str"/>
      <x:c r="R195" s="129" t="str">
        <x:v>C300</x:v>
      </x:c>
      <x:c r="S195" s="129" t="str">
        <x:v>Compact Luxury</x:v>
      </x:c>
      <x:c r="T195" s="147" t="n">
        <x:f>2026-G195</x:f>
        <x:v>3</x:v>
      </x:c>
      <x:c r="U195" s="150" t="n">
        <x:f>IF(T195&gt;0,I195/T195,"")</x:f>
        <x:v>16080</x:v>
      </x:c>
      <x:c r="V195" s="129" t="str">
        <x:v>Hybrid</x:v>
      </x:c>
      <x:c r="W195" s="129" t="str">
        <x:v>No</x:v>
      </x:c>
      <x:c r="X195" s="129" t="str">
        <x:v>Normal</x:v>
      </x:c>
      <x:c r="Y195" s="129" t="str">
        <x:f>IF(R195="AMG C43","No","Yes")</x:f>
        <x:v>Yes</x:v>
      </x:c>
      <x:c r="Z195" s="144" t="str">
        <x:f>IF(Y195="No","Excluded from final analysis: AMG performance model outside the predefined C300 candidate category.","")</x:f>
      </x:c>
    </x:row>
    <x:row r="196">
      <x:c r="A196" s="129" t="str">
        <x:v>MBCC_007</x:v>
      </x:c>
      <x:c r="B196" s="132" t="n">
        <x:v>46233</x:v>
      </x:c>
      <x:c r="C196" s="129" t="str">
        <x:v>Scarborough</x:v>
      </x:c>
      <x:c r="D196" s="129" t="str">
        <x:v>Mercedes-Benz</x:v>
      </x:c>
      <x:c r="E196" s="129" t="str">
        <x:v>C-Class</x:v>
      </x:c>
      <x:c r="F196" s="129" t="str">
        <x:v>C300 4MATIC</x:v>
      </x:c>
      <x:c r="G196" s="135" t="n">
        <x:v>2022</x:v>
      </x:c>
      <x:c r="H196" s="138" t="n">
        <x:v>29888</x:v>
      </x:c>
      <x:c r="I196" s="141" t="n">
        <x:v>127233</x:v>
      </x:c>
      <x:c r="J196" s="129" t="str">
        <x:v>Sedan</x:v>
      </x:c>
      <x:c r="K196" s="129" t="str">
        <x:v>AWD</x:v>
      </x:c>
      <x:c r="L196" s="129" t="str">
        <x:v>2.0L Turbo I4 Mild Hybrid</x:v>
      </x:c>
      <x:c r="M196" s="129" t="str">
        <x:v>Gasoline Mild Hybrid</x:v>
      </x:c>
      <x:c r="N196" s="129" t="str">
        <x:v>9-speed Automatic</x:v>
      </x:c>
      <x:c r="O196" s="129" t="str">
        <x:v>Great Deal</x:v>
      </x:c>
      <x:c r="P196" s="129" t="str">
        <x:v>W206</x:v>
      </x:c>
      <x:c r="Q196" s="144" t="str">
        <x:v>high mileage</x:v>
      </x:c>
      <x:c r="R196" s="129" t="str">
        <x:v>C300</x:v>
      </x:c>
      <x:c r="S196" s="129" t="str">
        <x:v>Compact Luxury</x:v>
      </x:c>
      <x:c r="T196" s="147" t="n">
        <x:f>2026-G196</x:f>
        <x:v>4</x:v>
      </x:c>
      <x:c r="U196" s="150" t="n">
        <x:f>IF(T196&gt;0,I196/T196,"")</x:f>
        <x:v>31808.25</x:v>
      </x:c>
      <x:c r="V196" s="129" t="str">
        <x:v>Hybrid</x:v>
      </x:c>
      <x:c r="W196" s="129" t="str">
        <x:v>No</x:v>
      </x:c>
      <x:c r="X196" s="129" t="str">
        <x:v>Normal</x:v>
      </x:c>
      <x:c r="Y196" s="129" t="str">
        <x:f>IF(R196="AMG C43","No","Yes")</x:f>
        <x:v>Yes</x:v>
      </x:c>
      <x:c r="Z196" s="144" t="str">
        <x:f>IF(Y196="No","Excluded from final analysis: AMG performance model outside the predefined C300 candidate category.","")</x:f>
      </x:c>
    </x:row>
    <x:row r="197">
      <x:c r="A197" s="129" t="str">
        <x:v>MBCC_008</x:v>
      </x:c>
      <x:c r="B197" s="132" t="n">
        <x:v>46233</x:v>
      </x:c>
      <x:c r="C197" s="129" t="str">
        <x:v>Toronto</x:v>
      </x:c>
      <x:c r="D197" s="129" t="str">
        <x:v>Mercedes-Benz</x:v>
      </x:c>
      <x:c r="E197" s="129" t="str">
        <x:v>C-Class</x:v>
      </x:c>
      <x:c r="F197" s="129" t="str">
        <x:v>C300 4MATIC</x:v>
      </x:c>
      <x:c r="G197" s="135" t="n">
        <x:v>2025</x:v>
      </x:c>
      <x:c r="H197" s="138" t="n">
        <x:v>55995</x:v>
      </x:c>
      <x:c r="I197" s="141" t="n">
        <x:v>9680</x:v>
      </x:c>
      <x:c r="J197" s="129" t="str">
        <x:v>Sedan</x:v>
      </x:c>
      <x:c r="K197" s="129" t="str">
        <x:v>AWD</x:v>
      </x:c>
      <x:c r="L197" s="129" t="str">
        <x:v>2.0L Turbo I4 Mild Hybrid</x:v>
      </x:c>
      <x:c r="M197" s="129" t="str">
        <x:v>Gasoline Mild Hybrid</x:v>
      </x:c>
      <x:c r="N197" s="129" t="str">
        <x:v>9-speed Automatic</x:v>
      </x:c>
      <x:c r="O197" s="129" t="str">
        <x:v>Great Deal</x:v>
      </x:c>
      <x:c r="P197" s="129" t="str">
        <x:v>W206</x:v>
      </x:c>
      <x:c r="Q197" s="144" t="str">
        <x:v>low mileage</x:v>
      </x:c>
      <x:c r="R197" s="129" t="str">
        <x:v>C300</x:v>
      </x:c>
      <x:c r="S197" s="129" t="str">
        <x:v>Compact Luxury</x:v>
      </x:c>
      <x:c r="T197" s="147" t="n">
        <x:f>2026-G197</x:f>
        <x:v>1</x:v>
      </x:c>
      <x:c r="U197" s="150" t="n">
        <x:f>IF(T197&gt;0,I197/T197,"")</x:f>
        <x:v>9680</x:v>
      </x:c>
      <x:c r="V197" s="129" t="str">
        <x:v>Hybrid</x:v>
      </x:c>
      <x:c r="W197" s="129" t="str">
        <x:v>No</x:v>
      </x:c>
      <x:c r="X197" s="129" t="str">
        <x:v>Normal</x:v>
      </x:c>
      <x:c r="Y197" s="129" t="str">
        <x:f>IF(R197="AMG C43","No","Yes")</x:f>
        <x:v>Yes</x:v>
      </x:c>
      <x:c r="Z197" s="144" t="str">
        <x:f>IF(Y197="No","Excluded from final analysis: AMG performance model outside the predefined C300 candidate category.","")</x:f>
      </x:c>
    </x:row>
    <x:row r="198">
      <x:c r="A198" s="129" t="str">
        <x:v>MBCC_009</x:v>
      </x:c>
      <x:c r="B198" s="132" t="n">
        <x:v>46233</x:v>
      </x:c>
      <x:c r="C198" s="129" t="str">
        <x:v>Oakville</x:v>
      </x:c>
      <x:c r="D198" s="129" t="str">
        <x:v>Mercedes-Benz</x:v>
      </x:c>
      <x:c r="E198" s="129" t="str">
        <x:v>C-Class</x:v>
      </x:c>
      <x:c r="F198" s="129" t="str">
        <x:v>C300 4MATIC</x:v>
      </x:c>
      <x:c r="G198" s="135" t="n">
        <x:v>2022</x:v>
      </x:c>
      <x:c r="H198" s="138" t="n">
        <x:v>36950</x:v>
      </x:c>
      <x:c r="I198" s="141" t="n">
        <x:v>65822</x:v>
      </x:c>
      <x:c r="J198" s="129" t="str">
        <x:v>Sedan</x:v>
      </x:c>
      <x:c r="K198" s="129" t="str">
        <x:v>AWD</x:v>
      </x:c>
      <x:c r="L198" s="129" t="str">
        <x:v>2.0L Turbo I4 Mild Hybrid</x:v>
      </x:c>
      <x:c r="M198" s="129" t="str">
        <x:v>Gasoline Mild Hybrid</x:v>
      </x:c>
      <x:c r="N198" s="129" t="str">
        <x:v>9-speed Automatic</x:v>
      </x:c>
      <x:c r="O198" s="129" t="str">
        <x:v>Great Deal</x:v>
      </x:c>
      <x:c r="P198" s="129" t="str">
        <x:v>W206</x:v>
      </x:c>
      <x:c r="Q198" s="144" t="str"/>
      <x:c r="R198" s="129" t="str">
        <x:v>C300</x:v>
      </x:c>
      <x:c r="S198" s="129" t="str">
        <x:v>Compact Luxury</x:v>
      </x:c>
      <x:c r="T198" s="147" t="n">
        <x:f>2026-G198</x:f>
        <x:v>4</x:v>
      </x:c>
      <x:c r="U198" s="150" t="n">
        <x:f>IF(T198&gt;0,I198/T198,"")</x:f>
        <x:v>16455.5</x:v>
      </x:c>
      <x:c r="V198" s="129" t="str">
        <x:v>Hybrid</x:v>
      </x:c>
      <x:c r="W198" s="129" t="str">
        <x:v>No</x:v>
      </x:c>
      <x:c r="X198" s="129" t="str">
        <x:v>Normal</x:v>
      </x:c>
      <x:c r="Y198" s="129" t="str">
        <x:f>IF(R198="AMG C43","No","Yes")</x:f>
        <x:v>Yes</x:v>
      </x:c>
      <x:c r="Z198" s="144" t="str">
        <x:f>IF(Y198="No","Excluded from final analysis: AMG performance model outside the predefined C300 candidate category.","")</x:f>
      </x:c>
    </x:row>
    <x:row r="199">
      <x:c r="A199" s="129" t="str">
        <x:v>MBCC_010</x:v>
      </x:c>
      <x:c r="B199" s="132" t="n">
        <x:v>46233</x:v>
      </x:c>
      <x:c r="C199" s="129" t="str">
        <x:v>Kitchener</x:v>
      </x:c>
      <x:c r="D199" s="129" t="str">
        <x:v>Mercedes-Benz</x:v>
      </x:c>
      <x:c r="E199" s="129" t="str">
        <x:v>C-Class</x:v>
      </x:c>
      <x:c r="F199" s="129" t="str">
        <x:v>C300 4MATIC</x:v>
      </x:c>
      <x:c r="G199" s="135" t="n">
        <x:v>2025</x:v>
      </x:c>
      <x:c r="H199" s="138" t="n">
        <x:v>57900</x:v>
      </x:c>
      <x:c r="I199" s="141" t="n">
        <x:v>5468</x:v>
      </x:c>
      <x:c r="J199" s="129" t="str">
        <x:v>Sedan</x:v>
      </x:c>
      <x:c r="K199" s="129" t="str">
        <x:v>AWD</x:v>
      </x:c>
      <x:c r="L199" s="129" t="str">
        <x:v>2.0L Turbo I4 Mild Hybrid</x:v>
      </x:c>
      <x:c r="M199" s="129" t="str">
        <x:v>Gasoline Mild Hybrid</x:v>
      </x:c>
      <x:c r="N199" s="129" t="str">
        <x:v>9-speed Automatic</x:v>
      </x:c>
      <x:c r="O199" s="129" t="str">
        <x:v>Great Deal</x:v>
      </x:c>
      <x:c r="P199" s="129" t="str">
        <x:v>W206</x:v>
      </x:c>
      <x:c r="Q199" s="144" t="str">
        <x:v>Certified Pre-Owned; very low mileage</x:v>
      </x:c>
      <x:c r="R199" s="129" t="str">
        <x:v>C300</x:v>
      </x:c>
      <x:c r="S199" s="129" t="str">
        <x:v>Compact Luxury</x:v>
      </x:c>
      <x:c r="T199" s="147" t="n">
        <x:f>2026-G199</x:f>
        <x:v>1</x:v>
      </x:c>
      <x:c r="U199" s="150" t="n">
        <x:f>IF(T199&gt;0,I199/T199,"")</x:f>
        <x:v>5468</x:v>
      </x:c>
      <x:c r="V199" s="129" t="str">
        <x:v>Hybrid</x:v>
      </x:c>
      <x:c r="W199" s="129" t="str">
        <x:v>No</x:v>
      </x:c>
      <x:c r="X199" s="129" t="str">
        <x:v>Normal</x:v>
      </x:c>
      <x:c r="Y199" s="129" t="str">
        <x:f>IF(R199="AMG C43","No","Yes")</x:f>
        <x:v>Yes</x:v>
      </x:c>
      <x:c r="Z199" s="144" t="str">
        <x:f>IF(Y199="No","Excluded from final analysis: AMG performance model outside the predefined C300 candidate category.","")</x:f>
      </x:c>
    </x:row>
    <x:row r="200">
      <x:c r="A200" s="129" t="str">
        <x:v>MBCC_011</x:v>
      </x:c>
      <x:c r="B200" s="132" t="n">
        <x:v>46233</x:v>
      </x:c>
      <x:c r="C200" s="129" t="str">
        <x:v>Oakville</x:v>
      </x:c>
      <x:c r="D200" s="129" t="str">
        <x:v>Mercedes-Benz</x:v>
      </x:c>
      <x:c r="E200" s="129" t="str">
        <x:v>C-Class</x:v>
      </x:c>
      <x:c r="F200" s="129" t="str">
        <x:v>C300 4MATIC</x:v>
      </x:c>
      <x:c r="G200" s="135" t="n">
        <x:v>2023</x:v>
      </x:c>
      <x:c r="H200" s="138" t="n">
        <x:v>35990</x:v>
      </x:c>
      <x:c r="I200" s="141" t="n">
        <x:v>61422</x:v>
      </x:c>
      <x:c r="J200" s="129" t="str">
        <x:v>Sedan</x:v>
      </x:c>
      <x:c r="K200" s="129" t="str">
        <x:v>AWD</x:v>
      </x:c>
      <x:c r="L200" s="129" t="str">
        <x:v>2.0L Turbo I4 Mild Hybrid</x:v>
      </x:c>
      <x:c r="M200" s="129" t="str">
        <x:v>Gasoline Mild Hybrid</x:v>
      </x:c>
      <x:c r="N200" s="129" t="str">
        <x:v>9-speed Automatic</x:v>
      </x:c>
      <x:c r="O200" s="129" t="str">
        <x:v>Great Deal</x:v>
      </x:c>
      <x:c r="P200" s="129" t="str">
        <x:v>W206</x:v>
      </x:c>
      <x:c r="Q200" s="144" t="str"/>
      <x:c r="R200" s="129" t="str">
        <x:v>C300</x:v>
      </x:c>
      <x:c r="S200" s="129" t="str">
        <x:v>Compact Luxury</x:v>
      </x:c>
      <x:c r="T200" s="147" t="n">
        <x:f>2026-G200</x:f>
        <x:v>3</x:v>
      </x:c>
      <x:c r="U200" s="150" t="n">
        <x:f>IF(T200&gt;0,I200/T200,"")</x:f>
        <x:v>20474</x:v>
      </x:c>
      <x:c r="V200" s="129" t="str">
        <x:v>Hybrid</x:v>
      </x:c>
      <x:c r="W200" s="129" t="str">
        <x:v>No</x:v>
      </x:c>
      <x:c r="X200" s="129" t="str">
        <x:v>Normal</x:v>
      </x:c>
      <x:c r="Y200" s="129" t="str">
        <x:f>IF(R200="AMG C43","No","Yes")</x:f>
        <x:v>Yes</x:v>
      </x:c>
      <x:c r="Z200" s="144" t="str">
        <x:f>IF(Y200="No","Excluded from final analysis: AMG performance model outside the predefined C300 candidate category.","")</x:f>
      </x:c>
    </x:row>
    <x:row r="201">
      <x:c r="A201" s="129" t="str">
        <x:v>MBCC_012</x:v>
      </x:c>
      <x:c r="B201" s="132" t="n">
        <x:v>46233</x:v>
      </x:c>
      <x:c r="C201" s="129" t="str">
        <x:v>Richmond Hill</x:v>
      </x:c>
      <x:c r="D201" s="129" t="str">
        <x:v>Mercedes-Benz</x:v>
      </x:c>
      <x:c r="E201" s="129" t="str">
        <x:v>C-Class</x:v>
      </x:c>
      <x:c r="F201" s="129" t="str">
        <x:v>C300 4MATIC</x:v>
      </x:c>
      <x:c r="G201" s="135" t="n">
        <x:v>2022</x:v>
      </x:c>
      <x:c r="H201" s="138" t="n">
        <x:v>36995</x:v>
      </x:c>
      <x:c r="I201" s="141" t="n">
        <x:v>49002</x:v>
      </x:c>
      <x:c r="J201" s="129" t="str">
        <x:v>Sedan</x:v>
      </x:c>
      <x:c r="K201" s="129" t="str">
        <x:v>AWD</x:v>
      </x:c>
      <x:c r="L201" s="129" t="str">
        <x:v>2.0L Turbo I4 Mild Hybrid</x:v>
      </x:c>
      <x:c r="M201" s="129" t="str">
        <x:v>Gasoline Mild Hybrid</x:v>
      </x:c>
      <x:c r="N201" s="129" t="str">
        <x:v>9-speed Automatic</x:v>
      </x:c>
      <x:c r="O201" s="129" t="str">
        <x:v>Great Deal</x:v>
      </x:c>
      <x:c r="P201" s="129" t="str">
        <x:v>W206</x:v>
      </x:c>
      <x:c r="Q201" s="144" t="str">
        <x:v>$1,004 price reduction</x:v>
      </x:c>
      <x:c r="R201" s="129" t="str">
        <x:v>C300</x:v>
      </x:c>
      <x:c r="S201" s="129" t="str">
        <x:v>Compact Luxury</x:v>
      </x:c>
      <x:c r="T201" s="147" t="n">
        <x:f>2026-G201</x:f>
        <x:v>4</x:v>
      </x:c>
      <x:c r="U201" s="150" t="n">
        <x:f>IF(T201&gt;0,I201/T201,"")</x:f>
        <x:v>12250.5</x:v>
      </x:c>
      <x:c r="V201" s="129" t="str">
        <x:v>Hybrid</x:v>
      </x:c>
      <x:c r="W201" s="129" t="str">
        <x:v>No</x:v>
      </x:c>
      <x:c r="X201" s="129" t="str">
        <x:v>Normal</x:v>
      </x:c>
      <x:c r="Y201" s="129" t="str">
        <x:f>IF(R201="AMG C43","No","Yes")</x:f>
        <x:v>Yes</x:v>
      </x:c>
      <x:c r="Z201" s="144" t="str">
        <x:f>IF(Y201="No","Excluded from final analysis: AMG performance model outside the predefined C300 candidate category.","")</x:f>
      </x:c>
    </x:row>
    <x:row r="202">
      <x:c r="A202" s="129" t="str">
        <x:v>MBCC_013</x:v>
      </x:c>
      <x:c r="B202" s="132" t="n">
        <x:v>46233</x:v>
      </x:c>
      <x:c r="C202" s="129" t="str">
        <x:v>Mississauga</x:v>
      </x:c>
      <x:c r="D202" s="129" t="str">
        <x:v>Mercedes-Benz</x:v>
      </x:c>
      <x:c r="E202" s="129" t="str">
        <x:v>C-Class</x:v>
      </x:c>
      <x:c r="F202" s="129" t="str">
        <x:v>C300 4MATIC</x:v>
      </x:c>
      <x:c r="G202" s="135" t="n">
        <x:v>2022</x:v>
      </x:c>
      <x:c r="H202" s="138" t="n">
        <x:v>35995</x:v>
      </x:c>
      <x:c r="I202" s="141" t="n">
        <x:v>44328</x:v>
      </x:c>
      <x:c r="J202" s="129" t="str">
        <x:v>Sedan</x:v>
      </x:c>
      <x:c r="K202" s="129" t="str">
        <x:v>AWD</x:v>
      </x:c>
      <x:c r="L202" s="129" t="str">
        <x:v>2.0L Turbo I4 Mild Hybrid</x:v>
      </x:c>
      <x:c r="M202" s="129" t="str">
        <x:v>Gasoline Mild Hybrid</x:v>
      </x:c>
      <x:c r="N202" s="129" t="str">
        <x:v>9-speed Automatic</x:v>
      </x:c>
      <x:c r="O202" s="129" t="str">
        <x:v>Great Deal</x:v>
      </x:c>
      <x:c r="P202" s="129" t="str">
        <x:v>W206</x:v>
      </x:c>
      <x:c r="Q202" s="144" t="str"/>
      <x:c r="R202" s="129" t="str">
        <x:v>C300</x:v>
      </x:c>
      <x:c r="S202" s="129" t="str">
        <x:v>Compact Luxury</x:v>
      </x:c>
      <x:c r="T202" s="147" t="n">
        <x:f>2026-G202</x:f>
        <x:v>4</x:v>
      </x:c>
      <x:c r="U202" s="150" t="n">
        <x:f>IF(T202&gt;0,I202/T202,"")</x:f>
        <x:v>11082</x:v>
      </x:c>
      <x:c r="V202" s="129" t="str">
        <x:v>Hybrid</x:v>
      </x:c>
      <x:c r="W202" s="129" t="str">
        <x:v>No</x:v>
      </x:c>
      <x:c r="X202" s="129" t="str">
        <x:v>Normal</x:v>
      </x:c>
      <x:c r="Y202" s="129" t="str">
        <x:f>IF(R202="AMG C43","No","Yes")</x:f>
        <x:v>Yes</x:v>
      </x:c>
      <x:c r="Z202" s="144" t="str">
        <x:f>IF(Y202="No","Excluded from final analysis: AMG performance model outside the predefined C300 candidate category.","")</x:f>
      </x:c>
    </x:row>
    <x:row r="203">
      <x:c r="A203" s="129" t="str">
        <x:v>MBCC_014</x:v>
      </x:c>
      <x:c r="B203" s="132" t="n">
        <x:v>46233</x:v>
      </x:c>
      <x:c r="C203" s="129" t="str">
        <x:v>Not recorded</x:v>
      </x:c>
      <x:c r="D203" s="129" t="str">
        <x:v>Mercedes-Benz</x:v>
      </x:c>
      <x:c r="E203" s="129" t="str">
        <x:v>C-Class</x:v>
      </x:c>
      <x:c r="F203" s="129" t="str">
        <x:v>C300 4MATIC</x:v>
      </x:c>
      <x:c r="G203" s="135" t="n">
        <x:v>2025</x:v>
      </x:c>
      <x:c r="H203" s="138" t="n">
        <x:v>48990</x:v>
      </x:c>
      <x:c r="I203" s="141" t="n">
        <x:v>11700</x:v>
      </x:c>
      <x:c r="J203" s="129" t="str">
        <x:v>Sedan</x:v>
      </x:c>
      <x:c r="K203" s="129" t="str">
        <x:v>AWD</x:v>
      </x:c>
      <x:c r="L203" s="129" t="str">
        <x:v>2.0L Turbo I4 Mild Hybrid</x:v>
      </x:c>
      <x:c r="M203" s="129" t="str">
        <x:v>Gasoline Mild Hybrid</x:v>
      </x:c>
      <x:c r="N203" s="129" t="str">
        <x:v>9-speed Automatic</x:v>
      </x:c>
      <x:c r="O203" s="129" t="str">
        <x:v>Great Deal</x:v>
      </x:c>
      <x:c r="P203" s="129" t="str">
        <x:v>W206</x:v>
      </x:c>
      <x:c r="Q203" s="144" t="str">
        <x:v>low mileage</x:v>
      </x:c>
      <x:c r="R203" s="129" t="str">
        <x:v>C300</x:v>
      </x:c>
      <x:c r="S203" s="129" t="str">
        <x:v>Compact Luxury</x:v>
      </x:c>
      <x:c r="T203" s="147" t="n">
        <x:f>2026-G203</x:f>
        <x:v>1</x:v>
      </x:c>
      <x:c r="U203" s="150" t="n">
        <x:f>IF(T203&gt;0,I203/T203,"")</x:f>
        <x:v>11700</x:v>
      </x:c>
      <x:c r="V203" s="129" t="str">
        <x:v>Hybrid</x:v>
      </x:c>
      <x:c r="W203" s="129" t="str">
        <x:v>No</x:v>
      </x:c>
      <x:c r="X203" s="129" t="str">
        <x:v>Normal</x:v>
      </x:c>
      <x:c r="Y203" s="129" t="str">
        <x:f>IF(R203="AMG C43","No","Yes")</x:f>
        <x:v>Yes</x:v>
      </x:c>
      <x:c r="Z203" s="144" t="str">
        <x:f>IF(Y203="No","Excluded from final analysis: AMG performance model outside the predefined C300 candidate category.","")</x:f>
      </x:c>
    </x:row>
    <x:row r="204">
      <x:c r="A204" s="130" t="str">
        <x:v>MBCC_015</x:v>
      </x:c>
      <x:c r="B204" s="133" t="n">
        <x:v>46233</x:v>
      </x:c>
      <x:c r="C204" s="130" t="str">
        <x:v>Burlington</x:v>
      </x:c>
      <x:c r="D204" s="130" t="str">
        <x:v>Mercedes-Benz</x:v>
      </x:c>
      <x:c r="E204" s="130" t="str">
        <x:v>C-Class</x:v>
      </x:c>
      <x:c r="F204" s="130" t="str">
        <x:v>AMG C43 4MATIC</x:v>
      </x:c>
      <x:c r="G204" s="136" t="n">
        <x:v>2023</x:v>
      </x:c>
      <x:c r="H204" s="139" t="n">
        <x:v>58000</x:v>
      </x:c>
      <x:c r="I204" s="142" t="n">
        <x:v>5601</x:v>
      </x:c>
      <x:c r="J204" s="130" t="str">
        <x:v>Sedan</x:v>
      </x:c>
      <x:c r="K204" s="130" t="str">
        <x:v>AWD</x:v>
      </x:c>
      <x:c r="L204" s="130" t="str">
        <x:v>2.0L AMG Turbo I4 Mild Hybrid</x:v>
      </x:c>
      <x:c r="M204" s="130" t="str">
        <x:v>Gasoline Mild Hybrid</x:v>
      </x:c>
      <x:c r="N204" s="130" t="str">
        <x:v>9-speed AMG MCT</x:v>
      </x:c>
      <x:c r="O204" s="130" t="str">
        <x:v>Great Deal</x:v>
      </x:c>
      <x:c r="P204" s="130" t="str">
        <x:v>W206</x:v>
      </x:c>
      <x:c r="Q204" s="145" t="str">
        <x:v>AMG performance model; very low mileage</x:v>
      </x:c>
      <x:c r="R204" s="130" t="str">
        <x:v>AMG C43</x:v>
      </x:c>
      <x:c r="S204" s="130" t="str">
        <x:v>Compact Luxury</x:v>
      </x:c>
      <x:c r="T204" s="148" t="n">
        <x:f>2026-G204</x:f>
        <x:v>3</x:v>
      </x:c>
      <x:c r="U204" s="151" t="n">
        <x:f>IF(T204&gt;0,I204/T204,"")</x:f>
        <x:v>1867</x:v>
      </x:c>
      <x:c r="V204" s="130" t="str">
        <x:v>Hybrid</x:v>
      </x:c>
      <x:c r="W204" s="130" t="str">
        <x:v>Yes</x:v>
      </x:c>
      <x:c r="X204" s="130" t="str">
        <x:v>Normal</x:v>
      </x:c>
      <x:c r="Y204" s="130" t="str">
        <x:f>IF(R204="AMG C43","No","Yes")</x:f>
        <x:v>No</x:v>
      </x:c>
      <x:c r="Z204" s="145" t="str">
        <x:f>IF(Y204="No","Excluded from final analysis: AMG performance model outside the predefined C300 candidate category.","")</x:f>
        <x:v>Excluded from final analysis: AMG performance model outside the predefined C300 candidate category.</x:v>
      </x:c>
    </x:row>
  </x:sheetData>
  <x:conditionalFormatting sqref="Y2:Y204">
    <x:cfRule type="containsText" dxfId="0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206a17aea3e4ce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24" hidden="0" customWidth="1"/>
    <x:col min="11" max="11" width="30" hidden="0" customWidth="1"/>
    <x:col min="12" max="12" width="58" hidden="0" customWidth="1"/>
  </x:cols>
  <x:sheetData>
    <x:row r="1" ht="30" customHeight="1">
      <x:c r="A1" s="123" t="str">
        <x:v>analysis_model</x:v>
      </x:c>
      <x:c r="B1" s="123" t="str">
        <x:v>sample_size</x:v>
      </x:c>
      <x:c r="C1" s="123" t="str">
        <x:v>mean_price_cad</x:v>
      </x:c>
      <x:c r="D1" s="123" t="str">
        <x:v>median_price_cad</x:v>
      </x:c>
      <x:c r="E1" s="123" t="str">
        <x:v>min_price_cad</x:v>
      </x:c>
      <x:c r="F1" s="123" t="str">
        <x:v>max_price_cad</x:v>
      </x:c>
      <x:c r="G1" s="123" t="str">
        <x:v>mean_mileage_km</x:v>
      </x:c>
      <x:c r="H1" s="123" t="str">
        <x:v>min_model_year</x:v>
      </x:c>
      <x:c r="I1" s="123" t="str">
        <x:v>max_model_year</x:v>
      </x:c>
      <x:c r="J1" s="123" t="str">
        <x:v>observed_drivetrains</x:v>
      </x:c>
      <x:c r="K1" s="123" t="str">
        <x:v>observed_engines</x:v>
      </x:c>
      <x:c r="L1" s="123" t="str">
        <x:v>observed_trims</x:v>
      </x:c>
    </x:row>
    <x:row r="2" ht="28" customHeight="1">
      <x:c r="A2" s="128" t="str">
        <x:v>3 Series</x:v>
      </x:c>
      <x:c r="B2" s="152" t="n">
        <x:f>COUNTIFS('Analysis Data'!$R$2:$R$204,A2,'Analysis Data'!$Y$2:$Y$204,"Yes")</x:f>
        <x:v>22</x:v>
      </x:c>
      <x:c r="C2" s="137" t="n">
        <x:f>AVERAGEIFS('Analysis Data'!$H$2:$H$204,'Analysis Data'!$R$2:$R$204,A2,'Analysis Data'!$Y$2:$Y$204,"Yes")</x:f>
        <x:v>35543.045454545456</x:v>
      </x:c>
      <x:c r="D2" s="137" t="n">
        <x:f>MEDIAN(_xlfn._xlws.FILTER('Analysis Data'!$H$2:$H$204,('Analysis Data'!$R$2:$R$204=A2)*('Analysis Data'!$Y$2:$Y$204="Yes")))</x:f>
        <x:v>33434</x:v>
      </x:c>
      <x:c r="E2" s="137" t="n">
        <x:f>MINIFS('Analysis Data'!$H$2:$H$204,'Analysis Data'!$R$2:$R$204,A2,'Analysis Data'!$Y$2:$Y$204,"Yes")</x:f>
        <x:v>19995</x:v>
      </x:c>
      <x:c r="F2" s="137" t="n">
        <x:f>MAXIFS('Analysis Data'!$H$2:$H$204,'Analysis Data'!$R$2:$R$204,A2,'Analysis Data'!$Y$2:$Y$204,"Yes")</x:f>
        <x:v>64495</x:v>
      </x:c>
      <x:c r="G2" s="140" t="n">
        <x:f>AVERAGEIFS('Analysis Data'!$I$2:$I$204,'Analysis Data'!$R$2:$R$204,A2,'Analysis Data'!$Y$2:$Y$204,"Yes")</x:f>
        <x:v>63654.09090909091</x:v>
      </x:c>
      <x:c r="H2" s="134" t="n">
        <x:f>MINIFS('Analysis Data'!$G$2:$G$204,'Analysis Data'!$R$2:$R$204,A2,'Analysis Data'!$Y$2:$Y$204,"Yes")</x:f>
        <x:v>2020</x:v>
      </x:c>
      <x:c r="I2" s="134" t="n">
        <x:f>MAXIFS('Analysis Data'!$G$2:$G$204,'Analysis Data'!$R$2:$R$204,A2,'Analysis Data'!$Y$2:$Y$204,"Yes")</x:f>
        <x:v>2025</x:v>
      </x:c>
      <x:c r="J2" s="143" t="str">
        <x:v>AWD (22)</x:v>
      </x:c>
      <x:c r="K2" s="143" t="str">
        <x:v>2.0L Turbo I4 (22)</x:v>
      </x:c>
      <x:c r="L2" s="143" t="str">
        <x:v>330i xDrive (22)</x:v>
      </x:c>
    </x:row>
    <x:row r="3" ht="28" customHeight="1">
      <x:c r="A3" s="129" t="str">
        <x:v>A4</x:v>
      </x:c>
      <x:c r="B3" s="153" t="n">
        <x:f>COUNTIFS('Analysis Data'!$R$2:$R$204,A3,'Analysis Data'!$Y$2:$Y$204,"Yes")</x:f>
        <x:v>22</x:v>
      </x:c>
      <x:c r="C3" s="138" t="n">
        <x:f>AVERAGEIFS('Analysis Data'!$H$2:$H$204,'Analysis Data'!$R$2:$R$204,A3,'Analysis Data'!$Y$2:$Y$204,"Yes")</x:f>
        <x:v>29455.454545454544</x:v>
      </x:c>
      <x:c r="D3" s="138" t="n">
        <x:f>MEDIAN(_xlfn._xlws.FILTER('Analysis Data'!$H$2:$H$204,('Analysis Data'!$R$2:$R$204=A3)*('Analysis Data'!$Y$2:$Y$204="Yes")))</x:f>
        <x:v>29260</x:v>
      </x:c>
      <x:c r="E3" s="138" t="n">
        <x:f>MINIFS('Analysis Data'!$H$2:$H$204,'Analysis Data'!$R$2:$R$204,A3,'Analysis Data'!$Y$2:$Y$204,"Yes")</x:f>
        <x:v>18888</x:v>
      </x:c>
      <x:c r="F3" s="138" t="n">
        <x:f>MAXIFS('Analysis Data'!$H$2:$H$204,'Analysis Data'!$R$2:$R$204,A3,'Analysis Data'!$Y$2:$Y$204,"Yes")</x:f>
        <x:v>42690</x:v>
      </x:c>
      <x:c r="G3" s="141" t="n">
        <x:f>AVERAGEIFS('Analysis Data'!$I$2:$I$204,'Analysis Data'!$R$2:$R$204,A3,'Analysis Data'!$Y$2:$Y$204,"Yes")</x:f>
        <x:v>59008.09090909091</x:v>
      </x:c>
      <x:c r="H3" s="135" t="n">
        <x:f>MINIFS('Analysis Data'!$G$2:$G$204,'Analysis Data'!$R$2:$R$204,A3,'Analysis Data'!$Y$2:$Y$204,"Yes")</x:f>
        <x:v>2020</x:v>
      </x:c>
      <x:c r="I3" s="135" t="n">
        <x:f>MAXIFS('Analysis Data'!$G$2:$G$204,'Analysis Data'!$R$2:$R$204,A3,'Analysis Data'!$Y$2:$Y$204,"Yes")</x:f>
        <x:v>2024</x:v>
      </x:c>
      <x:c r="J3" s="144" t="str">
        <x:v>AWD (22)</x:v>
      </x:c>
      <x:c r="K3" s="144" t="str">
        <x:v>2.0L Turbo I4 (22)</x:v>
      </x:c>
      <x:c r="L3" s="144" t="str">
        <x:v>Komfort 45 TFSI (9); Premium Plus S Line (5); Komfort (3); 4 additional trim(s)</x:v>
      </x:c>
    </x:row>
    <x:row r="4" ht="28" customHeight="1">
      <x:c r="A4" s="129" t="str">
        <x:v>A5 Sportback</x:v>
      </x:c>
      <x:c r="B4" s="153" t="n">
        <x:f>COUNTIFS('Analysis Data'!$R$2:$R$204,A4,'Analysis Data'!$Y$2:$Y$204,"Yes")</x:f>
        <x:v>14</x:v>
      </x:c>
      <x:c r="C4" s="138" t="n">
        <x:f>AVERAGEIFS('Analysis Data'!$H$2:$H$204,'Analysis Data'!$R$2:$R$204,A4,'Analysis Data'!$Y$2:$Y$204,"Yes")</x:f>
        <x:v>35357.142857142855</x:v>
      </x:c>
      <x:c r="D4" s="138" t="n">
        <x:f>MEDIAN(_xlfn._xlws.FILTER('Analysis Data'!$H$2:$H$204,('Analysis Data'!$R$2:$R$204=A4)*('Analysis Data'!$Y$2:$Y$204="Yes")))</x:f>
        <x:v>35747</x:v>
      </x:c>
      <x:c r="E4" s="138" t="n">
        <x:f>MINIFS('Analysis Data'!$H$2:$H$204,'Analysis Data'!$R$2:$R$204,A4,'Analysis Data'!$Y$2:$Y$204,"Yes")</x:f>
        <x:v>24998</x:v>
      </x:c>
      <x:c r="F4" s="138" t="n">
        <x:f>MAXIFS('Analysis Data'!$H$2:$H$204,'Analysis Data'!$R$2:$R$204,A4,'Analysis Data'!$Y$2:$Y$204,"Yes")</x:f>
        <x:v>43998</x:v>
      </x:c>
      <x:c r="G4" s="141" t="n">
        <x:f>AVERAGEIFS('Analysis Data'!$I$2:$I$204,'Analysis Data'!$R$2:$R$204,A4,'Analysis Data'!$Y$2:$Y$204,"Yes")</x:f>
        <x:v>66458.42857142857</x:v>
      </x:c>
      <x:c r="H4" s="135" t="n">
        <x:f>MINIFS('Analysis Data'!$G$2:$G$204,'Analysis Data'!$R$2:$R$204,A4,'Analysis Data'!$Y$2:$Y$204,"Yes")</x:f>
        <x:v>2020</x:v>
      </x:c>
      <x:c r="I4" s="135" t="n">
        <x:f>MAXIFS('Analysis Data'!$G$2:$G$204,'Analysis Data'!$R$2:$R$204,A4,'Analysis Data'!$Y$2:$Y$204,"Yes")</x:f>
        <x:v>2024</x:v>
      </x:c>
      <x:c r="J4" s="144" t="str">
        <x:v>AWD (14)</x:v>
      </x:c>
      <x:c r="K4" s="144" t="str">
        <x:v>2.0L Turbo I4 (14)</x:v>
      </x:c>
      <x:c r="L4" s="144" t="str">
        <x:v>Progressiv 45 TFSI (4); Progressiv (3); Premium Plus 45 TFSI (2); 3 additional trim(s)</x:v>
      </x:c>
    </x:row>
    <x:row r="5" ht="28" customHeight="1">
      <x:c r="A5" s="129" t="str">
        <x:v>Accord Hybrid</x:v>
      </x:c>
      <x:c r="B5" s="153" t="n">
        <x:f>COUNTIFS('Analysis Data'!$R$2:$R$204,A5,'Analysis Data'!$Y$2:$Y$204,"Yes")</x:f>
        <x:v>24</x:v>
      </x:c>
      <x:c r="C5" s="138" t="n">
        <x:f>AVERAGEIFS('Analysis Data'!$H$2:$H$204,'Analysis Data'!$R$2:$R$204,A5,'Analysis Data'!$Y$2:$Y$204,"Yes")</x:f>
        <x:v>36416.916666666664</x:v>
      </x:c>
      <x:c r="D5" s="138" t="n">
        <x:f>MEDIAN(_xlfn._xlws.FILTER('Analysis Data'!$H$2:$H$204,('Analysis Data'!$R$2:$R$204=A5)*('Analysis Data'!$Y$2:$Y$204="Yes")))</x:f>
        <x:v>36249.5</x:v>
      </x:c>
      <x:c r="E5" s="138" t="n">
        <x:f>MINIFS('Analysis Data'!$H$2:$H$204,'Analysis Data'!$R$2:$R$204,A5,'Analysis Data'!$Y$2:$Y$204,"Yes")</x:f>
        <x:v>26999</x:v>
      </x:c>
      <x:c r="F5" s="138" t="n">
        <x:f>MAXIFS('Analysis Data'!$H$2:$H$204,'Analysis Data'!$R$2:$R$204,A5,'Analysis Data'!$Y$2:$Y$204,"Yes")</x:f>
        <x:v>46499</x:v>
      </x:c>
      <x:c r="G5" s="141" t="n">
        <x:f>AVERAGEIFS('Analysis Data'!$I$2:$I$204,'Analysis Data'!$R$2:$R$204,A5,'Analysis Data'!$Y$2:$Y$204,"Yes")</x:f>
        <x:v>48112.708333333336</x:v>
      </x:c>
      <x:c r="H5" s="135" t="n">
        <x:f>MINIFS('Analysis Data'!$G$2:$G$204,'Analysis Data'!$R$2:$R$204,A5,'Analysis Data'!$Y$2:$Y$204,"Yes")</x:f>
        <x:v>2023</x:v>
      </x:c>
      <x:c r="I5" s="135" t="n">
        <x:f>MAXIFS('Analysis Data'!$G$2:$G$204,'Analysis Data'!$R$2:$R$204,A5,'Analysis Data'!$Y$2:$Y$204,"Yes")</x:f>
        <x:v>2026</x:v>
      </x:c>
      <x:c r="J5" s="144" t="str">
        <x:v>FWD (24)</x:v>
      </x:c>
      <x:c r="K5" s="144" t="str">
        <x:v>2.0L I4 Hybrid (24)</x:v>
      </x:c>
      <x:c r="L5" s="144" t="str">
        <x:v>Touring (17); Sport (6); Sport-L (1)</x:v>
      </x:c>
    </x:row>
    <x:row r="6" ht="28" customHeight="1">
      <x:c r="A6" s="129" t="str">
        <x:v>C300</x:v>
      </x:c>
      <x:c r="B6" s="153" t="n">
        <x:f>COUNTIFS('Analysis Data'!$R$2:$R$204,A6,'Analysis Data'!$Y$2:$Y$204,"Yes")</x:f>
        <x:v>14</x:v>
      </x:c>
      <x:c r="C6" s="138" t="n">
        <x:f>AVERAGEIFS('Analysis Data'!$H$2:$H$204,'Analysis Data'!$R$2:$R$204,A6,'Analysis Data'!$Y$2:$Y$204,"Yes")</x:f>
        <x:v>40995.28571428572</x:v>
      </x:c>
      <x:c r="D6" s="138" t="n">
        <x:f>MEDIAN(_xlfn._xlws.FILTER('Analysis Data'!$H$2:$H$204,('Analysis Data'!$R$2:$R$204=A6)*('Analysis Data'!$Y$2:$Y$204="Yes")))</x:f>
        <x:v>38438</x:v>
      </x:c>
      <x:c r="E6" s="138" t="n">
        <x:f>MINIFS('Analysis Data'!$H$2:$H$204,'Analysis Data'!$R$2:$R$204,A6,'Analysis Data'!$Y$2:$Y$204,"Yes")</x:f>
        <x:v>29888</x:v>
      </x:c>
      <x:c r="F6" s="138" t="n">
        <x:f>MAXIFS('Analysis Data'!$H$2:$H$204,'Analysis Data'!$R$2:$R$204,A6,'Analysis Data'!$Y$2:$Y$204,"Yes")</x:f>
        <x:v>57900</x:v>
      </x:c>
      <x:c r="G6" s="141" t="n">
        <x:f>AVERAGEIFS('Analysis Data'!$I$2:$I$204,'Analysis Data'!$R$2:$R$204,A6,'Analysis Data'!$Y$2:$Y$204,"Yes")</x:f>
        <x:v>50531.142857142855</x:v>
      </x:c>
      <x:c r="H6" s="135" t="n">
        <x:f>MINIFS('Analysis Data'!$G$2:$G$204,'Analysis Data'!$R$2:$R$204,A6,'Analysis Data'!$Y$2:$Y$204,"Yes")</x:f>
        <x:v>2022</x:v>
      </x:c>
      <x:c r="I6" s="135" t="n">
        <x:f>MAXIFS('Analysis Data'!$G$2:$G$204,'Analysis Data'!$R$2:$R$204,A6,'Analysis Data'!$Y$2:$Y$204,"Yes")</x:f>
        <x:v>2025</x:v>
      </x:c>
      <x:c r="J6" s="144" t="str">
        <x:v>AWD (14)</x:v>
      </x:c>
      <x:c r="K6" s="144" t="str">
        <x:v>2.0L Turbo I4 Mild Hybrid (14)</x:v>
      </x:c>
      <x:c r="L6" s="144" t="str">
        <x:v>C300 4MATIC (14)</x:v>
      </x:c>
    </x:row>
    <x:row r="7" ht="28" customHeight="1">
      <x:c r="A7" s="129" t="str">
        <x:v>Camry Hybrid</x:v>
      </x:c>
      <x:c r="B7" s="153" t="n">
        <x:f>COUNTIFS('Analysis Data'!$R$2:$R$204,A7,'Analysis Data'!$Y$2:$Y$204,"Yes")</x:f>
        <x:v>21</x:v>
      </x:c>
      <x:c r="C7" s="138" t="n">
        <x:f>AVERAGEIFS('Analysis Data'!$H$2:$H$204,'Analysis Data'!$R$2:$R$204,A7,'Analysis Data'!$Y$2:$Y$204,"Yes")</x:f>
        <x:v>29839.380952380954</x:v>
      </x:c>
      <x:c r="D7" s="138" t="n">
        <x:f>MEDIAN(_xlfn._xlws.FILTER('Analysis Data'!$H$2:$H$204,('Analysis Data'!$R$2:$R$204=A7)*('Analysis Data'!$Y$2:$Y$204="Yes")))</x:f>
        <x:v>29900</x:v>
      </x:c>
      <x:c r="E7" s="138" t="n">
        <x:f>MINIFS('Analysis Data'!$H$2:$H$204,'Analysis Data'!$R$2:$R$204,A7,'Analysis Data'!$Y$2:$Y$204,"Yes")</x:f>
        <x:v>19998</x:v>
      </x:c>
      <x:c r="F7" s="138" t="n">
        <x:f>MAXIFS('Analysis Data'!$H$2:$H$204,'Analysis Data'!$R$2:$R$204,A7,'Analysis Data'!$Y$2:$Y$204,"Yes")</x:f>
        <x:v>37995</x:v>
      </x:c>
      <x:c r="G7" s="141" t="n">
        <x:f>AVERAGEIFS('Analysis Data'!$I$2:$I$204,'Analysis Data'!$R$2:$R$204,A7,'Analysis Data'!$Y$2:$Y$204,"Yes")</x:f>
        <x:v>88107.66666666667</x:v>
      </x:c>
      <x:c r="H7" s="135" t="n">
        <x:f>MINIFS('Analysis Data'!$G$2:$G$204,'Analysis Data'!$R$2:$R$204,A7,'Analysis Data'!$Y$2:$Y$204,"Yes")</x:f>
        <x:v>2020</x:v>
      </x:c>
      <x:c r="I7" s="135" t="n">
        <x:f>MAXIFS('Analysis Data'!$G$2:$G$204,'Analysis Data'!$R$2:$R$204,A7,'Analysis Data'!$Y$2:$Y$204,"Yes")</x:f>
        <x:v>2024</x:v>
      </x:c>
      <x:c r="J7" s="144" t="str">
        <x:v>FWD (21)</x:v>
      </x:c>
      <x:c r="K7" s="144" t="str">
        <x:v>2.5L I4 Hybrid (21)</x:v>
      </x:c>
      <x:c r="L7" s="144" t="str">
        <x:v>SE (13); XSE (6); LE (1); 1 additional trim(s)</x:v>
      </x:c>
    </x:row>
    <x:row r="8" ht="28" customHeight="1">
      <x:c r="A8" s="129" t="str">
        <x:v>Civic Hybrid</x:v>
      </x:c>
      <x:c r="B8" s="153" t="n">
        <x:f>COUNTIFS('Analysis Data'!$R$2:$R$204,A8,'Analysis Data'!$Y$2:$Y$204,"Yes")</x:f>
        <x:v>20</x:v>
      </x:c>
      <x:c r="C8" s="138" t="n">
        <x:f>AVERAGEIFS('Analysis Data'!$H$2:$H$204,'Analysis Data'!$R$2:$R$204,A8,'Analysis Data'!$Y$2:$Y$204,"Yes")</x:f>
        <x:v>33668.5</x:v>
      </x:c>
      <x:c r="D8" s="138" t="n">
        <x:f>MEDIAN(_xlfn._xlws.FILTER('Analysis Data'!$H$2:$H$204,('Analysis Data'!$R$2:$R$204=A8)*('Analysis Data'!$Y$2:$Y$204="Yes")))</x:f>
        <x:v>33999</x:v>
      </x:c>
      <x:c r="E8" s="138" t="n">
        <x:f>MINIFS('Analysis Data'!$H$2:$H$204,'Analysis Data'!$R$2:$R$204,A8,'Analysis Data'!$Y$2:$Y$204,"Yes")</x:f>
        <x:v>25888</x:v>
      </x:c>
      <x:c r="F8" s="138" t="n">
        <x:f>MAXIFS('Analysis Data'!$H$2:$H$204,'Analysis Data'!$R$2:$R$204,A8,'Analysis Data'!$Y$2:$Y$204,"Yes")</x:f>
        <x:v>37900</x:v>
      </x:c>
      <x:c r="G8" s="141" t="n">
        <x:f>AVERAGEIFS('Analysis Data'!$I$2:$I$204,'Analysis Data'!$R$2:$R$204,A8,'Analysis Data'!$Y$2:$Y$204,"Yes")</x:f>
        <x:v>23195.25</x:v>
      </x:c>
      <x:c r="H8" s="135" t="n">
        <x:f>MINIFS('Analysis Data'!$G$2:$G$204,'Analysis Data'!$R$2:$R$204,A8,'Analysis Data'!$Y$2:$Y$204,"Yes")</x:f>
        <x:v>2025</x:v>
      </x:c>
      <x:c r="I8" s="135" t="n">
        <x:f>MAXIFS('Analysis Data'!$G$2:$G$204,'Analysis Data'!$R$2:$R$204,A8,'Analysis Data'!$Y$2:$Y$204,"Yes")</x:f>
        <x:v>2026</x:v>
      </x:c>
      <x:c r="J8" s="144" t="str">
        <x:v>FWD (20)</x:v>
      </x:c>
      <x:c r="K8" s="144" t="str">
        <x:v>2.0L I4 Hybrid (20)</x:v>
      </x:c>
      <x:c r="L8" s="144" t="str">
        <x:v>Sport (14); Sport Touring (6)</x:v>
      </x:c>
    </x:row>
    <x:row r="9" ht="28" customHeight="1">
      <x:c r="A9" s="129" t="str">
        <x:v>Elantra</x:v>
      </x:c>
      <x:c r="B9" s="153" t="n">
        <x:f>COUNTIFS('Analysis Data'!$R$2:$R$204,A9,'Analysis Data'!$Y$2:$Y$204,"Yes")</x:f>
        <x:v>18</x:v>
      </x:c>
      <x:c r="C9" s="138" t="n">
        <x:f>AVERAGEIFS('Analysis Data'!$H$2:$H$204,'Analysis Data'!$R$2:$R$204,A9,'Analysis Data'!$Y$2:$Y$204,"Yes")</x:f>
        <x:v>19249.833333333332</x:v>
      </x:c>
      <x:c r="D9" s="138" t="n">
        <x:f>MEDIAN(_xlfn._xlws.FILTER('Analysis Data'!$H$2:$H$204,('Analysis Data'!$R$2:$R$204=A9)*('Analysis Data'!$Y$2:$Y$204="Yes")))</x:f>
        <x:v>19990</x:v>
      </x:c>
      <x:c r="E9" s="138" t="n">
        <x:f>MINIFS('Analysis Data'!$H$2:$H$204,'Analysis Data'!$R$2:$R$204,A9,'Analysis Data'!$Y$2:$Y$204,"Yes")</x:f>
        <x:v>11888</x:v>
      </x:c>
      <x:c r="F9" s="138" t="n">
        <x:f>MAXIFS('Analysis Data'!$H$2:$H$204,'Analysis Data'!$R$2:$R$204,A9,'Analysis Data'!$Y$2:$Y$204,"Yes")</x:f>
        <x:v>23316</x:v>
      </x:c>
      <x:c r="G9" s="141" t="n">
        <x:f>AVERAGEIFS('Analysis Data'!$I$2:$I$204,'Analysis Data'!$R$2:$R$204,A9,'Analysis Data'!$Y$2:$Y$204,"Yes")</x:f>
        <x:v>70776.11111111111</x:v>
      </x:c>
      <x:c r="H9" s="135" t="n">
        <x:f>MINIFS('Analysis Data'!$G$2:$G$204,'Analysis Data'!$R$2:$R$204,A9,'Analysis Data'!$Y$2:$Y$204,"Yes")</x:f>
        <x:v>2022</x:v>
      </x:c>
      <x:c r="I9" s="135" t="n">
        <x:f>MAXIFS('Analysis Data'!$G$2:$G$204,'Analysis Data'!$R$2:$R$204,A9,'Analysis Data'!$Y$2:$Y$204,"Yes")</x:f>
        <x:v>2025</x:v>
      </x:c>
      <x:c r="J9" s="144" t="str">
        <x:v>FWD (18)</x:v>
      </x:c>
      <x:c r="K9" s="144" t="str">
        <x:v>2.0L MPI I4 (18)</x:v>
      </x:c>
      <x:c r="L9" s="144" t="str">
        <x:v>Preferred (10); Essential (5); Ultimate (3)</x:v>
      </x:c>
    </x:row>
    <x:row r="10" ht="28" customHeight="1">
      <x:c r="A10" s="129" t="str">
        <x:v>Elantra N Line</x:v>
      </x:c>
      <x:c r="B10" s="153" t="n">
        <x:f>COUNTIFS('Analysis Data'!$R$2:$R$204,A10,'Analysis Data'!$Y$2:$Y$204,"Yes")</x:f>
        <x:v>2</x:v>
      </x:c>
      <x:c r="C10" s="138" t="n">
        <x:f>AVERAGEIFS('Analysis Data'!$H$2:$H$204,'Analysis Data'!$R$2:$R$204,A10,'Analysis Data'!$Y$2:$Y$204,"Yes")</x:f>
        <x:v>24493.5</x:v>
      </x:c>
      <x:c r="D10" s="138" t="n">
        <x:f>MEDIAN(_xlfn._xlws.FILTER('Analysis Data'!$H$2:$H$204,('Analysis Data'!$R$2:$R$204=A10)*('Analysis Data'!$Y$2:$Y$204="Yes")))</x:f>
        <x:v>24493.5</x:v>
      </x:c>
      <x:c r="E10" s="138" t="n">
        <x:f>MINIFS('Analysis Data'!$H$2:$H$204,'Analysis Data'!$R$2:$R$204,A10,'Analysis Data'!$Y$2:$Y$204,"Yes")</x:f>
        <x:v>23988</x:v>
      </x:c>
      <x:c r="F10" s="138" t="n">
        <x:f>MAXIFS('Analysis Data'!$H$2:$H$204,'Analysis Data'!$R$2:$R$204,A10,'Analysis Data'!$Y$2:$Y$204,"Yes")</x:f>
        <x:v>24999</x:v>
      </x:c>
      <x:c r="G10" s="141" t="n">
        <x:f>AVERAGEIFS('Analysis Data'!$I$2:$I$204,'Analysis Data'!$R$2:$R$204,A10,'Analysis Data'!$Y$2:$Y$204,"Yes")</x:f>
        <x:v>36469</x:v>
      </x:c>
      <x:c r="H10" s="135" t="n">
        <x:f>MINIFS('Analysis Data'!$G$2:$G$204,'Analysis Data'!$R$2:$R$204,A10,'Analysis Data'!$Y$2:$Y$204,"Yes")</x:f>
        <x:v>2024</x:v>
      </x:c>
      <x:c r="I10" s="135" t="n">
        <x:f>MAXIFS('Analysis Data'!$G$2:$G$204,'Analysis Data'!$R$2:$R$204,A10,'Analysis Data'!$Y$2:$Y$204,"Yes")</x:f>
        <x:v>2025</x:v>
      </x:c>
      <x:c r="J10" s="144" t="str">
        <x:v>FWD (2)</x:v>
      </x:c>
      <x:c r="K10" s="144" t="str">
        <x:v>1.6L Turbo GDI I4 (2)</x:v>
      </x:c>
      <x:c r="L10" s="144" t="str">
        <x:v>N Line Ultimate (2)</x:v>
      </x:c>
    </x:row>
    <x:row r="11" ht="28" customHeight="1">
      <x:c r="A11" s="129" t="str">
        <x:v>G70 2.0T</x:v>
      </x:c>
      <x:c r="B11" s="153" t="n">
        <x:f>COUNTIFS('Analysis Data'!$R$2:$R$204,A11,'Analysis Data'!$Y$2:$Y$204,"Yes")</x:f>
        <x:v>3</x:v>
      </x:c>
      <x:c r="C11" s="138" t="n">
        <x:f>AVERAGEIFS('Analysis Data'!$H$2:$H$204,'Analysis Data'!$R$2:$R$204,A11,'Analysis Data'!$Y$2:$Y$204,"Yes")</x:f>
        <x:v>31456</x:v>
      </x:c>
      <x:c r="D11" s="138" t="n">
        <x:f>MEDIAN(_xlfn._xlws.FILTER('Analysis Data'!$H$2:$H$204,('Analysis Data'!$R$2:$R$204=A11)*('Analysis Data'!$Y$2:$Y$204="Yes")))</x:f>
        <x:v>30490</x:v>
      </x:c>
      <x:c r="E11" s="138" t="n">
        <x:f>MINIFS('Analysis Data'!$H$2:$H$204,'Analysis Data'!$R$2:$R$204,A11,'Analysis Data'!$Y$2:$Y$204,"Yes")</x:f>
        <x:v>29890</x:v>
      </x:c>
      <x:c r="F11" s="138" t="n">
        <x:f>MAXIFS('Analysis Data'!$H$2:$H$204,'Analysis Data'!$R$2:$R$204,A11,'Analysis Data'!$Y$2:$Y$204,"Yes")</x:f>
        <x:v>33988</x:v>
      </x:c>
      <x:c r="G11" s="141" t="n">
        <x:f>AVERAGEIFS('Analysis Data'!$I$2:$I$204,'Analysis Data'!$R$2:$R$204,A11,'Analysis Data'!$Y$2:$Y$204,"Yes")</x:f>
        <x:v>42572.666666666664</x:v>
      </x:c>
      <x:c r="H11" s="135" t="n">
        <x:f>MINIFS('Analysis Data'!$G$2:$G$204,'Analysis Data'!$R$2:$R$204,A11,'Analysis Data'!$Y$2:$Y$204,"Yes")</x:f>
        <x:v>2022</x:v>
      </x:c>
      <x:c r="I11" s="135" t="n">
        <x:f>MAXIFS('Analysis Data'!$G$2:$G$204,'Analysis Data'!$R$2:$R$204,A11,'Analysis Data'!$Y$2:$Y$204,"Yes")</x:f>
        <x:v>2023</x:v>
      </x:c>
      <x:c r="J11" s="144" t="str">
        <x:v>AWD (3)</x:v>
      </x:c>
      <x:c r="K11" s="144" t="str">
        <x:v>2.0L Turbo I4 (3)</x:v>
      </x:c>
      <x:c r="L11" s="144" t="str">
        <x:v>2.0T Advanced (2); 2.0T Select (1)</x:v>
      </x:c>
    </x:row>
    <x:row r="12" ht="28" customHeight="1">
      <x:c r="A12" s="129" t="str">
        <x:v>G70 2.5T</x:v>
      </x:c>
      <x:c r="B12" s="153" t="n">
        <x:f>COUNTIFS('Analysis Data'!$R$2:$R$204,A12,'Analysis Data'!$Y$2:$Y$204,"Yes")</x:f>
        <x:v>3</x:v>
      </x:c>
      <x:c r="C12" s="138" t="n">
        <x:f>AVERAGEIFS('Analysis Data'!$H$2:$H$204,'Analysis Data'!$R$2:$R$204,A12,'Analysis Data'!$Y$2:$Y$204,"Yes")</x:f>
        <x:v>42780.666666666664</x:v>
      </x:c>
      <x:c r="D12" s="138" t="n">
        <x:f>MEDIAN(_xlfn._xlws.FILTER('Analysis Data'!$H$2:$H$204,('Analysis Data'!$R$2:$R$204=A12)*('Analysis Data'!$Y$2:$Y$204="Yes")))</x:f>
        <x:v>41500</x:v>
      </x:c>
      <x:c r="E12" s="138" t="n">
        <x:f>MINIFS('Analysis Data'!$H$2:$H$204,'Analysis Data'!$R$2:$R$204,A12,'Analysis Data'!$Y$2:$Y$204,"Yes")</x:f>
        <x:v>36821</x:v>
      </x:c>
      <x:c r="F12" s="138" t="n">
        <x:f>MAXIFS('Analysis Data'!$H$2:$H$204,'Analysis Data'!$R$2:$R$204,A12,'Analysis Data'!$Y$2:$Y$204,"Yes")</x:f>
        <x:v>50021</x:v>
      </x:c>
      <x:c r="G12" s="141" t="n">
        <x:f>AVERAGEIFS('Analysis Data'!$I$2:$I$204,'Analysis Data'!$R$2:$R$204,A12,'Analysis Data'!$Y$2:$Y$204,"Yes")</x:f>
        <x:v>25880.666666666668</x:v>
      </x:c>
      <x:c r="H12" s="135" t="n">
        <x:f>MINIFS('Analysis Data'!$G$2:$G$204,'Analysis Data'!$R$2:$R$204,A12,'Analysis Data'!$Y$2:$Y$204,"Yes")</x:f>
        <x:v>2024</x:v>
      </x:c>
      <x:c r="I12" s="135" t="n">
        <x:f>MAXIFS('Analysis Data'!$G$2:$G$204,'Analysis Data'!$R$2:$R$204,A12,'Analysis Data'!$Y$2:$Y$204,"Yes")</x:f>
        <x:v>2026</x:v>
      </x:c>
      <x:c r="J12" s="144" t="str">
        <x:v>RWD (2); AWD (1)</x:v>
      </x:c>
      <x:c r="K12" s="144" t="str">
        <x:v>2.5L Turbo I4 (3)</x:v>
      </x:c>
      <x:c r="L12" s="144" t="str">
        <x:v>2.5T Standard (2); 2.5T Prestige (1)</x:v>
      </x:c>
    </x:row>
    <x:row r="13" ht="28" customHeight="1">
      <x:c r="A13" s="129" t="str">
        <x:v>G70 3.3T</x:v>
      </x:c>
      <x:c r="B13" s="153" t="n">
        <x:f>COUNTIFS('Analysis Data'!$R$2:$R$204,A13,'Analysis Data'!$Y$2:$Y$204,"Yes")</x:f>
        <x:v>15</x:v>
      </x:c>
      <x:c r="C13" s="138" t="n">
        <x:f>AVERAGEIFS('Analysis Data'!$H$2:$H$204,'Analysis Data'!$R$2:$R$204,A13,'Analysis Data'!$Y$2:$Y$204,"Yes")</x:f>
        <x:v>39073.46666666667</x:v>
      </x:c>
      <x:c r="D13" s="138" t="n">
        <x:f>MEDIAN(_xlfn._xlws.FILTER('Analysis Data'!$H$2:$H$204,('Analysis Data'!$R$2:$R$204=A13)*('Analysis Data'!$Y$2:$Y$204="Yes")))</x:f>
        <x:v>40999</x:v>
      </x:c>
      <x:c r="E13" s="138" t="n">
        <x:f>MINIFS('Analysis Data'!$H$2:$H$204,'Analysis Data'!$R$2:$R$204,A13,'Analysis Data'!$Y$2:$Y$204,"Yes")</x:f>
        <x:v>26995</x:v>
      </x:c>
      <x:c r="F13" s="138" t="n">
        <x:f>MAXIFS('Analysis Data'!$H$2:$H$204,'Analysis Data'!$R$2:$R$204,A13,'Analysis Data'!$Y$2:$Y$204,"Yes")</x:f>
        <x:v>47848</x:v>
      </x:c>
      <x:c r="G13" s="141" t="n">
        <x:f>AVERAGEIFS('Analysis Data'!$I$2:$I$204,'Analysis Data'!$R$2:$R$204,A13,'Analysis Data'!$Y$2:$Y$204,"Yes")</x:f>
        <x:v>55475.066666666666</x:v>
      </x:c>
      <x:c r="H13" s="135" t="n">
        <x:f>MINIFS('Analysis Data'!$G$2:$G$204,'Analysis Data'!$R$2:$R$204,A13,'Analysis Data'!$Y$2:$Y$204,"Yes")</x:f>
        <x:v>2022</x:v>
      </x:c>
      <x:c r="I13" s="135" t="n">
        <x:f>MAXIFS('Analysis Data'!$G$2:$G$204,'Analysis Data'!$R$2:$R$204,A13,'Analysis Data'!$Y$2:$Y$204,"Yes")</x:f>
        <x:v>2025</x:v>
      </x:c>
      <x:c r="J13" s="144" t="str">
        <x:v>AWD (15)</x:v>
      </x:c>
      <x:c r="K13" s="144" t="str">
        <x:v>3.3L Twin-Turbo V6 (15)</x:v>
      </x:c>
      <x:c r="L13" s="144" t="str">
        <x:v>3.3T Sport (13); 3.3T Advanced (1); 3.3T Sport Advanced (1)</x:v>
      </x:c>
    </x:row>
    <x:row r="14" ht="28" customHeight="1">
      <x:c r="A14" s="129" t="str">
        <x:v>Sonata</x:v>
      </x:c>
      <x:c r="B14" s="153" t="n">
        <x:f>COUNTIFS('Analysis Data'!$R$2:$R$204,A14,'Analysis Data'!$Y$2:$Y$204,"Yes")</x:f>
        <x:v>17</x:v>
      </x:c>
      <x:c r="C14" s="138" t="n">
        <x:f>AVERAGEIFS('Analysis Data'!$H$2:$H$204,'Analysis Data'!$R$2:$R$204,A14,'Analysis Data'!$Y$2:$Y$204,"Yes")</x:f>
        <x:v>29146</x:v>
      </x:c>
      <x:c r="D14" s="138" t="n">
        <x:f>MEDIAN(_xlfn._xlws.FILTER('Analysis Data'!$H$2:$H$204,('Analysis Data'!$R$2:$R$204=A14)*('Analysis Data'!$Y$2:$Y$204="Yes")))</x:f>
        <x:v>28995</x:v>
      </x:c>
      <x:c r="E14" s="138" t="n">
        <x:f>MINIFS('Analysis Data'!$H$2:$H$204,'Analysis Data'!$R$2:$R$204,A14,'Analysis Data'!$Y$2:$Y$204,"Yes")</x:f>
        <x:v>24990</x:v>
      </x:c>
      <x:c r="F14" s="138" t="n">
        <x:f>MAXIFS('Analysis Data'!$H$2:$H$204,'Analysis Data'!$R$2:$R$204,A14,'Analysis Data'!$Y$2:$Y$204,"Yes")</x:f>
        <x:v>32690</x:v>
      </x:c>
      <x:c r="G14" s="141" t="n">
        <x:f>AVERAGEIFS('Analysis Data'!$I$2:$I$204,'Analysis Data'!$R$2:$R$204,A14,'Analysis Data'!$Y$2:$Y$204,"Yes")</x:f>
        <x:v>36733.529411764706</x:v>
      </x:c>
      <x:c r="H14" s="135" t="n">
        <x:f>MINIFS('Analysis Data'!$G$2:$G$204,'Analysis Data'!$R$2:$R$204,A14,'Analysis Data'!$Y$2:$Y$204,"Yes")</x:f>
        <x:v>2024</x:v>
      </x:c>
      <x:c r="I14" s="135" t="n">
        <x:f>MAXIFS('Analysis Data'!$G$2:$G$204,'Analysis Data'!$R$2:$R$204,A14,'Analysis Data'!$Y$2:$Y$204,"Yes")</x:f>
        <x:v>2025</x:v>
      </x:c>
      <x:c r="J14" s="144" t="str">
        <x:v>FWD (10); AWD (7)</x:v>
      </x:c>
      <x:c r="K14" s="144" t="str">
        <x:v>2.5L GDI + MPI I4 (17)</x:v>
      </x:c>
      <x:c r="L14" s="144" t="str">
        <x:v>Preferred Trend (17)</x:v>
      </x:c>
    </x:row>
    <x:row r="15" ht="28" customHeight="1">
      <x:c r="A15" s="130" t="str">
        <x:v>Sonata N Line</x:v>
      </x:c>
      <x:c r="B15" s="154" t="n">
        <x:f>COUNTIFS('Analysis Data'!$R$2:$R$204,A15,'Analysis Data'!$Y$2:$Y$204,"Yes")</x:f>
        <x:v>7</x:v>
      </x:c>
      <x:c r="C15" s="139" t="n">
        <x:f>AVERAGEIFS('Analysis Data'!$H$2:$H$204,'Analysis Data'!$R$2:$R$204,A15,'Analysis Data'!$Y$2:$Y$204,"Yes")</x:f>
        <x:v>31483.285714285714</x:v>
      </x:c>
      <x:c r="D15" s="139" t="n">
        <x:f>MEDIAN(_xlfn._xlws.FILTER('Analysis Data'!$H$2:$H$204,('Analysis Data'!$R$2:$R$204=A15)*('Analysis Data'!$Y$2:$Y$204="Yes")))</x:f>
        <x:v>30732</x:v>
      </x:c>
      <x:c r="E15" s="139" t="n">
        <x:f>MINIFS('Analysis Data'!$H$2:$H$204,'Analysis Data'!$R$2:$R$204,A15,'Analysis Data'!$Y$2:$Y$204,"Yes")</x:f>
        <x:v>25797</x:v>
      </x:c>
      <x:c r="F15" s="139" t="n">
        <x:f>MAXIFS('Analysis Data'!$H$2:$H$204,'Analysis Data'!$R$2:$R$204,A15,'Analysis Data'!$Y$2:$Y$204,"Yes")</x:f>
        <x:v>36590</x:v>
      </x:c>
      <x:c r="G15" s="142" t="n">
        <x:f>AVERAGEIFS('Analysis Data'!$I$2:$I$204,'Analysis Data'!$R$2:$R$204,A15,'Analysis Data'!$Y$2:$Y$204,"Yes")</x:f>
        <x:v>27813.285714285714</x:v>
      </x:c>
      <x:c r="H15" s="136" t="n">
        <x:f>MINIFS('Analysis Data'!$G$2:$G$204,'Analysis Data'!$R$2:$R$204,A15,'Analysis Data'!$Y$2:$Y$204,"Yes")</x:f>
        <x:v>2024</x:v>
      </x:c>
      <x:c r="I15" s="136" t="n">
        <x:f>MAXIFS('Analysis Data'!$G$2:$G$204,'Analysis Data'!$R$2:$R$204,A15,'Analysis Data'!$Y$2:$Y$204,"Yes")</x:f>
        <x:v>2026</x:v>
      </x:c>
      <x:c r="J15" s="145" t="str">
        <x:v>FWD (7)</x:v>
      </x:c>
      <x:c r="K15" s="145" t="str">
        <x:v>2.5L Turbo GDI I4 (7)</x:v>
      </x:c>
      <x:c r="L15" s="145" t="str">
        <x:v>N Line (4); N Line Ultimate (3)</x:v>
      </x:c>
    </x:row>
  </x:sheetData>
  <x:pageMargins left="0.7" right="0.7" top="0.75" bottom="0.75" header="0.3" footer="0.3"/>
  <x:drawing xmlns:r="http://schemas.openxmlformats.org/officeDocument/2006/relationships" r:id="R8e60e089ebe54f5a"/>
  <x:tableParts count="1">
    <x:tablePart xmlns:r="http://schemas.openxmlformats.org/officeDocument/2006/relationships" r:id="Re8759c48217f4b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23" t="str">
        <x:v>segment</x:v>
      </x:c>
      <x:c r="B1" s="123" t="str">
        <x:v>sample_size</x:v>
      </x:c>
      <x:c r="C1" s="123" t="str">
        <x:v>mean_price_cad</x:v>
      </x:c>
      <x:c r="D1" s="123" t="str">
        <x:v>median_price_cad</x:v>
      </x:c>
      <x:c r="E1" s="123" t="str">
        <x:v>min_price_cad</x:v>
      </x:c>
      <x:c r="F1" s="123" t="str">
        <x:v>max_price_cad</x:v>
      </x:c>
      <x:c r="G1" s="123" t="str">
        <x:v>mean_mileage_km</x:v>
      </x:c>
      <x:c r="H1" s="123" t="str">
        <x:v>mean_vehicle_age</x:v>
      </x:c>
    </x:row>
    <x:row r="2">
      <x:c r="A2" s="128" t="str">
        <x:v>Compact Luxury</x:v>
      </x:c>
      <x:c r="B2" s="152" t="n">
        <x:f>COUNTIFS('Analysis Data'!$S$2:$S$204,A2,'Analysis Data'!$Y$2:$Y$204,"Yes")</x:f>
        <x:v>93</x:v>
      </x:c>
      <x:c r="C2" s="137" t="n">
        <x:f>AVERAGEIFS('Analysis Data'!$H$2:$H$204,'Analysis Data'!$S$2:$S$204,A2,'Analysis Data'!$Y$2:$Y$204,"Yes")</x:f>
        <x:v>35566.8064516129</x:v>
      </x:c>
      <x:c r="D2" s="137" t="n">
        <x:f>MEDIAN(_xlfn._xlws.FILTER('Analysis Data'!$H$2:$H$204,('Analysis Data'!$S$2:$S$204=A2)*('Analysis Data'!$Y$2:$Y$204="Yes")))</x:f>
        <x:v>35495</x:v>
      </x:c>
      <x:c r="E2" s="137" t="n">
        <x:f>MINIFS('Analysis Data'!$H$2:$H$204,'Analysis Data'!$S$2:$S$204,A2,'Analysis Data'!$Y$2:$Y$204,"Yes")</x:f>
        <x:v>18888</x:v>
      </x:c>
      <x:c r="F2" s="137" t="n">
        <x:f>MAXIFS('Analysis Data'!$H$2:$H$204,'Analysis Data'!$S$2:$S$204,A2,'Analysis Data'!$Y$2:$Y$204,"Yes")</x:f>
        <x:v>64495</x:v>
      </x:c>
      <x:c r="G2" s="140" t="n">
        <x:f>AVERAGEIFS('Analysis Data'!$I$2:$I$204,'Analysis Data'!$S$2:$S$204,A2,'Analysis Data'!$Y$2:$Y$204,"Yes")</x:f>
        <x:v>57783.95698924731</x:v>
      </x:c>
      <x:c r="H2" s="155" t="n">
        <x:f>AVERAGEIFS('Analysis Data'!$T$2:$T$204,'Analysis Data'!$S$2:$S$204,A2,'Analysis Data'!$Y$2:$Y$204,"Yes")</x:f>
        <x:v>3.4193548387096775</x:v>
      </x:c>
    </x:row>
    <x:row r="3">
      <x:c r="A3" s="129" t="str">
        <x:v>Mainstream Compact</x:v>
      </x:c>
      <x:c r="B3" s="153" t="n">
        <x:f>COUNTIFS('Analysis Data'!$S$2:$S$204,A3,'Analysis Data'!$Y$2:$Y$204,"Yes")</x:f>
        <x:v>40</x:v>
      </x:c>
      <x:c r="C3" s="138" t="n">
        <x:f>AVERAGEIFS('Analysis Data'!$H$2:$H$204,'Analysis Data'!$S$2:$S$204,A3,'Analysis Data'!$Y$2:$Y$204,"Yes")</x:f>
        <x:v>26721.35</x:v>
      </x:c>
      <x:c r="D3" s="138" t="n">
        <x:f>MEDIAN(_xlfn._xlws.FILTER('Analysis Data'!$H$2:$H$204,('Analysis Data'!$S$2:$S$204=A3)*('Analysis Data'!$Y$2:$Y$204="Yes")))</x:f>
        <x:v>25443.5</x:v>
      </x:c>
      <x:c r="E3" s="138" t="n">
        <x:f>MINIFS('Analysis Data'!$H$2:$H$204,'Analysis Data'!$S$2:$S$204,A3,'Analysis Data'!$Y$2:$Y$204,"Yes")</x:f>
        <x:v>11888</x:v>
      </x:c>
      <x:c r="F3" s="138" t="n">
        <x:f>MAXIFS('Analysis Data'!$H$2:$H$204,'Analysis Data'!$S$2:$S$204,A3,'Analysis Data'!$Y$2:$Y$204,"Yes")</x:f>
        <x:v>37900</x:v>
      </x:c>
      <x:c r="G3" s="141" t="n">
        <x:f>AVERAGEIFS('Analysis Data'!$I$2:$I$204,'Analysis Data'!$S$2:$S$204,A3,'Analysis Data'!$Y$2:$Y$204,"Yes")</x:f>
        <x:v>45270.325</x:v>
      </x:c>
      <x:c r="H3" s="156" t="n">
        <x:f>AVERAGEIFS('Analysis Data'!$T$2:$T$204,'Analysis Data'!$S$2:$S$204,A3,'Analysis Data'!$Y$2:$Y$204,"Yes")</x:f>
        <x:v>1.35</x:v>
      </x:c>
    </x:row>
    <x:row r="4">
      <x:c r="A4" s="130" t="str">
        <x:v>Mainstream Midsize</x:v>
      </x:c>
      <x:c r="B4" s="154" t="n">
        <x:f>COUNTIFS('Analysis Data'!$S$2:$S$204,A4,'Analysis Data'!$Y$2:$Y$204,"Yes")</x:f>
        <x:v>69</x:v>
      </x:c>
      <x:c r="C4" s="139" t="n">
        <x:f>AVERAGEIFS('Analysis Data'!$H$2:$H$204,'Analysis Data'!$S$2:$S$204,A4,'Analysis Data'!$Y$2:$Y$204,"Yes")</x:f>
        <x:v>32123.159420289856</x:v>
      </x:c>
      <x:c r="D4" s="139" t="n">
        <x:f>MEDIAN(_xlfn._xlws.FILTER('Analysis Data'!$H$2:$H$204,('Analysis Data'!$S$2:$S$204=A4)*('Analysis Data'!$Y$2:$Y$204="Yes")))</x:f>
        <x:v>30821</x:v>
      </x:c>
      <x:c r="E4" s="139" t="n">
        <x:f>MINIFS('Analysis Data'!$H$2:$H$204,'Analysis Data'!$S$2:$S$204,A4,'Analysis Data'!$Y$2:$Y$204,"Yes")</x:f>
        <x:v>19998</x:v>
      </x:c>
      <x:c r="F4" s="139" t="n">
        <x:f>MAXIFS('Analysis Data'!$H$2:$H$204,'Analysis Data'!$S$2:$S$204,A4,'Analysis Data'!$Y$2:$Y$204,"Yes")</x:f>
        <x:v>46499</x:v>
      </x:c>
      <x:c r="G4" s="142" t="n">
        <x:f>AVERAGEIFS('Analysis Data'!$I$2:$I$204,'Analysis Data'!$S$2:$S$204,A4,'Analysis Data'!$Y$2:$Y$204,"Yes")</x:f>
        <x:v>55422.159420289856</x:v>
      </x:c>
      <x:c r="H4" s="157" t="n">
        <x:f>AVERAGEIFS('Analysis Data'!$T$2:$T$204,'Analysis Data'!$S$2:$S$204,A4,'Analysis Data'!$Y$2:$Y$204,"Yes")</x:f>
        <x:v>2.3333333333333335</x:v>
      </x:c>
    </x:row>
  </x:sheetData>
  <x:pageMargins left="0.7" right="0.7" top="0.75" bottom="0.75" header="0.3" footer="0.3"/>
  <x:tableParts count="1">
    <x:tablePart xmlns:r="http://schemas.openxmlformats.org/officeDocument/2006/relationships" r:id="R6c83b6b2a69340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60" hidden="0" customWidth="1"/>
  </x:cols>
  <x:sheetData>
    <x:row r="1" ht="30" customHeight="1">
      <x:c r="A1" s="123" t="str">
        <x:v>record_id</x:v>
      </x:c>
      <x:c r="B1" s="123" t="str">
        <x:v>analysis_model</x:v>
      </x:c>
      <x:c r="C1" s="123" t="str">
        <x:v>make</x:v>
      </x:c>
      <x:c r="D1" s="123" t="str">
        <x:v>model</x:v>
      </x:c>
      <x:c r="E1" s="123" t="str">
        <x:v>trim</x:v>
      </x:c>
      <x:c r="F1" s="123" t="str">
        <x:v>model_year</x:v>
      </x:c>
      <x:c r="G1" s="123" t="str">
        <x:v>price_cad</x:v>
      </x:c>
      <x:c r="H1" s="123" t="str">
        <x:v>mileage_km</x:v>
      </x:c>
      <x:c r="I1" s="123" t="str">
        <x:v>analysis_include</x:v>
      </x:c>
      <x:c r="J1" s="123" t="str">
        <x:v>exclusion_reason</x:v>
      </x:c>
    </x:row>
    <x:row r="2" ht="46" customHeight="1">
      <x:c r="A2" s="159" t="str">
        <x:v>MBCC_015</x:v>
      </x:c>
      <x:c r="B2" s="159" t="str">
        <x:v>AMG C43</x:v>
      </x:c>
      <x:c r="C2" s="159" t="str">
        <x:v>Mercedes-Benz</x:v>
      </x:c>
      <x:c r="D2" s="159" t="str">
        <x:v>C-Class</x:v>
      </x:c>
      <x:c r="E2" s="159" t="str">
        <x:v>AMG C43 4MATIC</x:v>
      </x:c>
      <x:c r="F2" s="159" t="n">
        <x:v>2023</x:v>
      </x:c>
      <x:c r="G2" s="160" t="n">
        <x:v>58000</x:v>
      </x:c>
      <x:c r="H2" s="161" t="n">
        <x:v>5601</x:v>
      </x:c>
      <x:c r="I2" s="164" t="str">
        <x:v>No</x:v>
      </x:c>
      <x:c r="J2" s="165" t="str">
        <x:v>AMG performance model outside the predefined C300 candidate category; retained for auditability but excluded from final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5b8144acff084c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8" hidden="0" customWidth="1"/>
    <x:col min="4" max="4" width="18" hidden="0" customWidth="1"/>
  </x:cols>
  <x:sheetData>
    <x:row r="1" ht="30" customHeight="1">
      <x:c r="A1" s="123" t="str">
        <x:v>field_name</x:v>
      </x:c>
      <x:c r="B1" s="123" t="str">
        <x:v>definition</x:v>
      </x:c>
      <x:c r="C1" s="123" t="str">
        <x:v>unit_or_type</x:v>
      </x:c>
      <x:c r="D1" s="123" t="str">
        <x:v>status</x:v>
      </x:c>
    </x:row>
    <x:row r="2" ht="32.400001525878906" hidden="0" customHeight="1">
      <x:c r="A2" s="128" t="str">
        <x:v>record_id</x:v>
      </x:c>
      <x:c r="B2" s="143" t="str">
        <x:v>Unique listing record identifier</x:v>
      </x:c>
      <x:c r="C2" s="128" t="str">
        <x:v>Text</x:v>
      </x:c>
      <x:c r="D2" s="128" t="str">
        <x:v>Original</x:v>
      </x:c>
    </x:row>
    <x:row r="3" ht="43.20000076293945" hidden="0" customHeight="1">
      <x:c r="A3" s="129" t="str">
        <x:v>collection_date</x:v>
      </x:c>
      <x:c r="B3" s="144" t="str">
        <x:v>Date on which the listing was recorded</x:v>
      </x:c>
      <x:c r="C3" s="129" t="str">
        <x:v>Date</x:v>
      </x:c>
      <x:c r="D3" s="129" t="str">
        <x:v>Original</x:v>
      </x:c>
    </x:row>
    <x:row r="4" ht="21.600000381469727" hidden="0" customHeight="1">
      <x:c r="A4" s="129" t="str">
        <x:v>city</x:v>
      </x:c>
      <x:c r="B4" s="144" t="str">
        <x:v>Listing location</x:v>
      </x:c>
      <x:c r="C4" s="129" t="str">
        <x:v>Text</x:v>
      </x:c>
      <x:c r="D4" s="129" t="str">
        <x:v>Original</x:v>
      </x:c>
    </x:row>
    <x:row r="5" ht="21.600000381469727" hidden="0" customHeight="1">
      <x:c r="A5" s="129" t="str">
        <x:v>make</x:v>
      </x:c>
      <x:c r="B5" s="144" t="str">
        <x:v>Vehicle manufacturer</x:v>
      </x:c>
      <x:c r="C5" s="129" t="str">
        <x:v>Text</x:v>
      </x:c>
      <x:c r="D5" s="129" t="str">
        <x:v>Original</x:v>
      </x:c>
    </x:row>
    <x:row r="6" ht="32.400001525878906" hidden="0" customHeight="1">
      <x:c r="A6" s="129" t="str">
        <x:v>model</x:v>
      </x:c>
      <x:c r="B6" s="144" t="str">
        <x:v>Listed vehicle model</x:v>
      </x:c>
      <x:c r="C6" s="129" t="str">
        <x:v>Text</x:v>
      </x:c>
      <x:c r="D6" s="129" t="str">
        <x:v>Original</x:v>
      </x:c>
    </x:row>
    <x:row r="7" ht="21.600000381469727" hidden="0" customHeight="1">
      <x:c r="A7" s="129" t="str">
        <x:v>trim</x:v>
      </x:c>
      <x:c r="B7" s="144" t="str">
        <x:v>Listed trim or grade</x:v>
      </x:c>
      <x:c r="C7" s="129" t="str">
        <x:v>Text</x:v>
      </x:c>
      <x:c r="D7" s="129" t="str">
        <x:v>Original</x:v>
      </x:c>
    </x:row>
    <x:row r="8" ht="21.600000381469727" hidden="0" customHeight="1">
      <x:c r="A8" s="129" t="str">
        <x:v>model_year</x:v>
      </x:c>
      <x:c r="B8" s="144" t="str">
        <x:v>Vehicle model year</x:v>
      </x:c>
      <x:c r="C8" s="129" t="str">
        <x:v>Year</x:v>
      </x:c>
      <x:c r="D8" s="129" t="str">
        <x:v>Original</x:v>
      </x:c>
    </x:row>
    <x:row r="9" ht="54" hidden="0" customHeight="1">
      <x:c r="A9" s="129" t="str">
        <x:v>price_cad</x:v>
      </x:c>
      <x:c r="B9" s="144" t="str">
        <x:v>Advertised listing price; not transaction price</x:v>
      </x:c>
      <x:c r="C9" s="129" t="str">
        <x:v>CAD</x:v>
      </x:c>
      <x:c r="D9" s="129" t="str">
        <x:v>Original</x:v>
      </x:c>
    </x:row>
    <x:row r="10" ht="32.400001525878906" hidden="0" customHeight="1">
      <x:c r="A10" s="129" t="str">
        <x:v>mileage_km</x:v>
      </x:c>
      <x:c r="B10" s="144" t="str">
        <x:v>Accumulated odometer reading</x:v>
      </x:c>
      <x:c r="C10" s="129" t="str">
        <x:v>Kilometres</x:v>
      </x:c>
      <x:c r="D10" s="129" t="str">
        <x:v>Original</x:v>
      </x:c>
    </x:row>
    <x:row r="11" ht="21.600000381469727" hidden="0" customHeight="1">
      <x:c r="A11" s="129" t="str">
        <x:v>body_style</x:v>
      </x:c>
      <x:c r="B11" s="144" t="str">
        <x:v>Listed body configuration</x:v>
      </x:c>
      <x:c r="C11" s="129" t="str">
        <x:v>Text</x:v>
      </x:c>
      <x:c r="D11" s="129" t="str">
        <x:v>Original</x:v>
      </x:c>
    </x:row>
    <x:row r="12" ht="21.600000381469727" hidden="0" customHeight="1">
      <x:c r="A12" s="129" t="str">
        <x:v>drivetrain</x:v>
      </x:c>
      <x:c r="B12" s="144" t="str">
        <x:v>Driven-wheel configuration</x:v>
      </x:c>
      <x:c r="C12" s="129" t="str">
        <x:v>Text</x:v>
      </x:c>
      <x:c r="D12" s="129" t="str">
        <x:v>Original</x:v>
      </x:c>
    </x:row>
    <x:row r="13" ht="21.600000381469727" hidden="0" customHeight="1">
      <x:c r="A13" s="129" t="str">
        <x:v>engine</x:v>
      </x:c>
      <x:c r="B13" s="144" t="str">
        <x:v>Listed engine description</x:v>
      </x:c>
      <x:c r="C13" s="129" t="str">
        <x:v>Text</x:v>
      </x:c>
      <x:c r="D13" s="129" t="str">
        <x:v>Original</x:v>
      </x:c>
    </x:row>
    <x:row r="14" ht="32.400001525878906" hidden="0" customHeight="1">
      <x:c r="A14" s="129" t="str">
        <x:v>fuel_type</x:v>
      </x:c>
      <x:c r="B14" s="144" t="str">
        <x:v>Listed fuel or hybrid category</x:v>
      </x:c>
      <x:c r="C14" s="129" t="str">
        <x:v>Text</x:v>
      </x:c>
      <x:c r="D14" s="129" t="str">
        <x:v>Original</x:v>
      </x:c>
    </x:row>
    <x:row r="15" ht="32.400001525878906" hidden="0" customHeight="1">
      <x:c r="A15" s="129" t="str">
        <x:v>transmission</x:v>
      </x:c>
      <x:c r="B15" s="144" t="str">
        <x:v>Listed transmission description</x:v>
      </x:c>
      <x:c r="C15" s="129" t="str">
        <x:v>Text</x:v>
      </x:c>
      <x:c r="D15" s="129" t="str">
        <x:v>Original</x:v>
      </x:c>
    </x:row>
    <x:row r="16" ht="32.400001525878906" hidden="0" customHeight="1">
      <x:c r="A16" s="129" t="str">
        <x:v>deal_rating</x:v>
      </x:c>
      <x:c r="B16" s="144" t="str">
        <x:v>CarGurus deal-rating label</x:v>
      </x:c>
      <x:c r="C16" s="129" t="str">
        <x:v>Text</x:v>
      </x:c>
      <x:c r="D16" s="129" t="str">
        <x:v>Original</x:v>
      </x:c>
    </x:row>
    <x:row r="17" ht="43.20000076293945" hidden="0" customHeight="1">
      <x:c r="A17" s="129" t="str">
        <x:v>generation</x:v>
      </x:c>
      <x:c r="B17" s="144" t="str">
        <x:v>Vehicle generation where recorded</x:v>
      </x:c>
      <x:c r="C17" s="129" t="str">
        <x:v>Text</x:v>
      </x:c>
      <x:c r="D17" s="129" t="str">
        <x:v>Original</x:v>
      </x:c>
    </x:row>
    <x:row r="18" ht="64.80000305175781" hidden="0" customHeight="1">
      <x:c r="A18" s="129" t="str">
        <x:v>notes</x:v>
      </x:c>
      <x:c r="B18" s="144" t="str">
        <x:v>Additional listing observations recorded during collection</x:v>
      </x:c>
      <x:c r="C18" s="129" t="str">
        <x:v>Text</x:v>
      </x:c>
      <x:c r="D18" s="129" t="str">
        <x:v>Original</x:v>
      </x:c>
    </x:row>
    <x:row r="19" ht="43.20000076293945" hidden="0" customHeight="1">
      <x:c r="A19" s="129" t="str">
        <x:v>analysis_model</x:v>
      </x:c>
      <x:c r="B19" s="144" t="str">
        <x:v>Standardized model label used in the paper</x:v>
      </x:c>
      <x:c r="C19" s="129" t="str">
        <x:v>Text</x:v>
      </x:c>
      <x:c r="D19" s="129" t="str">
        <x:v>Processed</x:v>
      </x:c>
    </x:row>
    <x:row r="20" ht="75.5999984741211" hidden="0" customHeight="1">
      <x:c r="A20" s="129" t="str">
        <x:v>segment</x:v>
      </x:c>
      <x:c r="B20" s="144" t="str">
        <x:v>Market category used in descriptive and regression analysis</x:v>
      </x:c>
      <x:c r="C20" s="129" t="str">
        <x:v>Text</x:v>
      </x:c>
      <x:c r="D20" s="129" t="str">
        <x:v>Processed</x:v>
      </x:c>
    </x:row>
    <x:row r="21" ht="21.600000381469727" hidden="0" customHeight="1">
      <x:c r="A21" s="129" t="str">
        <x:v>vehicle_age</x:v>
      </x:c>
      <x:c r="B21" s="144" t="str">
        <x:v>2026 minus model year</x:v>
      </x:c>
      <x:c r="C21" s="129" t="str">
        <x:v>Years</x:v>
      </x:c>
      <x:c r="D21" s="129" t="str">
        <x:v>Formula</x:v>
      </x:c>
    </x:row>
    <x:row r="22" ht="64.80000305175781" hidden="0" customHeight="1">
      <x:c r="A22" s="129" t="str">
        <x:v>mileage_per_year</x:v>
      </x:c>
      <x:c r="B22" s="144" t="str">
        <x:v>Mileage divided by vehicle age; blank for model-year 2026</x:v>
      </x:c>
      <x:c r="C22" s="129" t="str">
        <x:v>km/year</x:v>
      </x:c>
      <x:c r="D22" s="129" t="str">
        <x:v>Formula</x:v>
      </x:c>
    </x:row>
    <x:row r="23" ht="32.400001525878906" hidden="0" customHeight="1">
      <x:c r="A23" s="129" t="str">
        <x:v>powertrain_group</x:v>
      </x:c>
      <x:c r="B23" s="144" t="str">
        <x:v>Consolidated powertrain category</x:v>
      </x:c>
      <x:c r="C23" s="129" t="str">
        <x:v>Text</x:v>
      </x:c>
      <x:c r="D23" s="129" t="str">
        <x:v>Processed</x:v>
      </x:c>
    </x:row>
    <x:row r="24" ht="54" hidden="0" customHeight="1">
      <x:c r="A24" s="129" t="str">
        <x:v>performance_flag</x:v>
      </x:c>
      <x:c r="B24" s="144" t="str">
        <x:v>Indicator for explicitly performance-oriented variants</x:v>
      </x:c>
      <x:c r="C24" s="129" t="str">
        <x:v>Yes/No</x:v>
      </x:c>
      <x:c r="D24" s="129" t="str">
        <x:v>Processed</x:v>
      </x:c>
    </x:row>
    <x:row r="25" ht="43.20000076293945" hidden="0" customHeight="1">
      <x:c r="A25" s="129" t="str">
        <x:v>mileage_flag</x:v>
      </x:c>
      <x:c r="B25" s="144" t="str">
        <x:v>Rule-based low/normal/high mileage label</x:v>
      </x:c>
      <x:c r="C25" s="129" t="str">
        <x:v>Text</x:v>
      </x:c>
      <x:c r="D25" s="129" t="str">
        <x:v>Processed</x:v>
      </x:c>
    </x:row>
    <x:row r="26" ht="54" hidden="0" customHeight="1">
      <x:c r="A26" s="129" t="str">
        <x:v>analysis_include</x:v>
      </x:c>
      <x:c r="B26" s="144" t="str">
        <x:v>Yes for the 202 final analytical records; No for AMG C43</x:v>
      </x:c>
      <x:c r="C26" s="129" t="str">
        <x:v>Yes/No</x:v>
      </x:c>
      <x:c r="D26" s="129" t="str">
        <x:v>Formula</x:v>
      </x:c>
    </x:row>
    <x:row r="27" ht="64.80000305175781" hidden="0" customHeight="1">
      <x:c r="A27" s="130" t="str">
        <x:v>exclusion_reason</x:v>
      </x:c>
      <x:c r="B27" s="145" t="str">
        <x:v>Reason an observation is excluded from the analytical sample</x:v>
      </x:c>
      <x:c r="C27" s="130" t="str">
        <x:v>Text</x:v>
      </x:c>
      <x:c r="D27" s="130" t="str">
        <x:v>Formula</x:v>
      </x:c>
    </x:row>
  </x:sheetData>
  <x:pageMargins left="0.7" right="0.7" top="0.75" bottom="0.75" header="0.3" footer="0.3"/>
  <x:tableParts count="1">
    <x:tablePart xmlns:r="http://schemas.openxmlformats.org/officeDocument/2006/relationships" r:id="R3616093593f0469d"/>
  </x:tableParts>
</x:worksheet>
</file>